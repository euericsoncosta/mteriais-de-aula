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mteriais-de-aula\disciplinas\banco-de-dados\"/>
    </mc:Choice>
  </mc:AlternateContent>
  <xr:revisionPtr revIDLastSave="0" documentId="13_ncr:1_{84328A0C-800C-42E1-A930-C57ABE73FB9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trole" sheetId="1" r:id="rId1"/>
    <sheet name="Painel" sheetId="2" r:id="rId2"/>
  </sheets>
  <definedNames>
    <definedName name="_xlnm._FilterDatabase" localSheetId="0" hidden="1">Controle!$A$5:$K$51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D9" i="2"/>
  <c r="C9" i="2"/>
  <c r="F9" i="2" s="1"/>
  <c r="E8" i="2"/>
  <c r="D8" i="2"/>
  <c r="C8" i="2"/>
  <c r="F8" i="2" s="1"/>
  <c r="E7" i="2"/>
  <c r="D7" i="2"/>
  <c r="C7" i="2"/>
  <c r="F7" i="2" s="1"/>
  <c r="E6" i="2"/>
  <c r="D6" i="2"/>
  <c r="C6" i="2"/>
  <c r="F6" i="2" s="1"/>
  <c r="E5" i="2"/>
  <c r="D5" i="2"/>
  <c r="C5" i="2"/>
  <c r="F5" i="2" s="1"/>
  <c r="C53" i="1"/>
  <c r="H51" i="1"/>
  <c r="H50" i="1"/>
  <c r="H49" i="1"/>
  <c r="H48" i="1"/>
  <c r="H47" i="1"/>
  <c r="H46" i="1"/>
  <c r="H45" i="1"/>
  <c r="H44" i="1"/>
  <c r="H43" i="1"/>
  <c r="H42" i="1"/>
  <c r="J41" i="1"/>
  <c r="H41" i="1"/>
  <c r="I41" i="1" s="1"/>
  <c r="H40" i="1"/>
  <c r="H39" i="1"/>
  <c r="H38" i="1"/>
  <c r="H37" i="1"/>
  <c r="H36" i="1"/>
  <c r="H35" i="1"/>
  <c r="H34" i="1"/>
  <c r="H33" i="1"/>
  <c r="H32" i="1"/>
  <c r="H31" i="1"/>
  <c r="H30" i="1"/>
  <c r="J29" i="1"/>
  <c r="H29" i="1"/>
  <c r="I29" i="1" s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J10" i="1"/>
  <c r="H10" i="1"/>
  <c r="I10" i="1" s="1"/>
  <c r="H9" i="1"/>
  <c r="H8" i="1"/>
  <c r="J8" i="1" s="1"/>
  <c r="H7" i="1"/>
  <c r="H6" i="1"/>
  <c r="I48" i="1" l="1"/>
  <c r="J48" i="1"/>
  <c r="I40" i="1"/>
  <c r="J40" i="1"/>
  <c r="I35" i="1"/>
  <c r="J35" i="1"/>
  <c r="I31" i="1"/>
  <c r="J31" i="1"/>
  <c r="I27" i="1"/>
  <c r="J27" i="1"/>
  <c r="I19" i="1"/>
  <c r="J19" i="1"/>
  <c r="I16" i="1"/>
  <c r="J16" i="1"/>
  <c r="I28" i="1"/>
  <c r="J28" i="1"/>
  <c r="I12" i="1"/>
  <c r="J12" i="1"/>
  <c r="I6" i="1"/>
  <c r="J6" i="1"/>
  <c r="I18" i="1"/>
  <c r="J18" i="1"/>
  <c r="I33" i="1"/>
  <c r="J33" i="1"/>
  <c r="I17" i="1"/>
  <c r="J17" i="1"/>
  <c r="I38" i="1"/>
  <c r="J38" i="1"/>
  <c r="I24" i="1"/>
  <c r="J24" i="1"/>
  <c r="I47" i="1"/>
  <c r="J47" i="1"/>
  <c r="I23" i="1"/>
  <c r="J23" i="1"/>
  <c r="I44" i="1"/>
  <c r="J44" i="1"/>
  <c r="I34" i="1"/>
  <c r="J34" i="1"/>
  <c r="I9" i="1"/>
  <c r="J9" i="1"/>
  <c r="I49" i="1"/>
  <c r="J49" i="1"/>
  <c r="I50" i="1"/>
  <c r="J50" i="1"/>
  <c r="I51" i="1"/>
  <c r="J51" i="1"/>
  <c r="I37" i="1"/>
  <c r="J37" i="1"/>
  <c r="I13" i="1"/>
  <c r="J13" i="1"/>
  <c r="I26" i="1"/>
  <c r="J26" i="1"/>
  <c r="I46" i="1"/>
  <c r="J46" i="1"/>
  <c r="I21" i="1"/>
  <c r="J21" i="1"/>
  <c r="I25" i="1"/>
  <c r="J25" i="1"/>
  <c r="I43" i="1"/>
  <c r="J43" i="1"/>
  <c r="I39" i="1"/>
  <c r="J39" i="1"/>
  <c r="I20" i="1"/>
  <c r="J20" i="1"/>
  <c r="I14" i="1"/>
  <c r="J14" i="1"/>
  <c r="I36" i="1"/>
  <c r="J36" i="1"/>
  <c r="I15" i="1"/>
  <c r="J15" i="1"/>
  <c r="I45" i="1"/>
  <c r="J45" i="1"/>
  <c r="I7" i="1"/>
  <c r="J7" i="1"/>
  <c r="I42" i="1"/>
  <c r="J42" i="1"/>
  <c r="I32" i="1"/>
  <c r="J32" i="1"/>
  <c r="I30" i="1"/>
  <c r="J30" i="1"/>
  <c r="I22" i="1"/>
  <c r="J22" i="1"/>
  <c r="I11" i="1"/>
  <c r="J11" i="1"/>
  <c r="I8" i="1"/>
  <c r="C58" i="1"/>
  <c r="C57" i="1" l="1"/>
  <c r="C59" i="1"/>
  <c r="C55" i="1"/>
  <c r="C54" i="1"/>
  <c r="C56" i="1"/>
</calcChain>
</file>

<file path=xl/sharedStrings.xml><?xml version="1.0" encoding="utf-8"?>
<sst xmlns="http://schemas.openxmlformats.org/spreadsheetml/2006/main" count="179" uniqueCount="135">
  <si>
    <t>BANCO DE DADOS — CONTROLE DE ENTREGA DAS LISTAS DE SQL</t>
  </si>
  <si>
    <t>Projeto Biblioteca Escolar · arquivo biblioteca_nome.sql · listas 1 a 5</t>
  </si>
  <si>
    <t>Preencha apenas as colunas das listas (fundo amarelo), escolhendo na lista suspensa: Entregue, Parcial ou Pendente. Entregue vale 1 ponto e Parcial vale 0,5. O restante é calculado.</t>
  </si>
  <si>
    <t>Cód.</t>
  </si>
  <si>
    <t>Aluno(a)</t>
  </si>
  <si>
    <t>Lista 1
CREATE</t>
  </si>
  <si>
    <t>Lista 2
INSERT</t>
  </si>
  <si>
    <t>Lista 3
SELECT</t>
  </si>
  <si>
    <t>Lista 4
UPDATE/agreg.</t>
  </si>
  <si>
    <t>Lista 5
JOIN</t>
  </si>
  <si>
    <t>Entregues
(0 a 5)</t>
  </si>
  <si>
    <t>% concluído</t>
  </si>
  <si>
    <t>Situação</t>
  </si>
  <si>
    <t>Observação</t>
  </si>
  <si>
    <t>V01</t>
  </si>
  <si>
    <t>ANTONIO MEDEIROS DA COSTA FILHO</t>
  </si>
  <si>
    <t>V02</t>
  </si>
  <si>
    <t>BIANCA DE LIMA SABOIA</t>
  </si>
  <si>
    <t>V03</t>
  </si>
  <si>
    <t>BRENO LIMA DA SILVA</t>
  </si>
  <si>
    <t>V04</t>
  </si>
  <si>
    <t>CECILLYA LIMA CAVALCANTE</t>
  </si>
  <si>
    <t>V05</t>
  </si>
  <si>
    <t>DAVI FALCAO DA SILVA</t>
  </si>
  <si>
    <t>V06</t>
  </si>
  <si>
    <t>DION VITOR MOREIRA DE LIMA</t>
  </si>
  <si>
    <t>V07</t>
  </si>
  <si>
    <t>EMANUEL CANDIDO RABELO OLIVEIRA</t>
  </si>
  <si>
    <t>V08</t>
  </si>
  <si>
    <t>EMILLY DOS SANTOS DA SILVA</t>
  </si>
  <si>
    <t>V09</t>
  </si>
  <si>
    <t>EMILLY RAIKA PEREIRA DE SOUSA</t>
  </si>
  <si>
    <t>V10</t>
  </si>
  <si>
    <t>ERIKA BENTO DO NASCIMENTO</t>
  </si>
  <si>
    <t>V11</t>
  </si>
  <si>
    <t>FELIPE GABRIEL BRITO LOPES</t>
  </si>
  <si>
    <t>V12</t>
  </si>
  <si>
    <t>FRANCISCO GUSTAVO LIMA VIEIRA</t>
  </si>
  <si>
    <t>V13</t>
  </si>
  <si>
    <t>FRANCISCO ISMAEL DE SOUSA</t>
  </si>
  <si>
    <t>V14</t>
  </si>
  <si>
    <t>GABRIEL GIRAO DE VASCONCELOS</t>
  </si>
  <si>
    <t>V15</t>
  </si>
  <si>
    <t>GABRIEL LEVY DA SIVA MIRANDA</t>
  </si>
  <si>
    <t>V16</t>
  </si>
  <si>
    <t>HEMILLY LIMA SILVEIRA</t>
  </si>
  <si>
    <t>V17</t>
  </si>
  <si>
    <t>IARLEY BARBOSA DA SILVA</t>
  </si>
  <si>
    <t>V18</t>
  </si>
  <si>
    <t>ICARO BRUNO NASCIMENTO SILVA</t>
  </si>
  <si>
    <t>V19</t>
  </si>
  <si>
    <t>ISABEL JUCA TREVISAN</t>
  </si>
  <si>
    <t>V20</t>
  </si>
  <si>
    <t>JOAO GABRIEL SOUSA DOS SANTOS</t>
  </si>
  <si>
    <t>V21</t>
  </si>
  <si>
    <t>JOAO VICTOR OLIVEIRA DA SILVA</t>
  </si>
  <si>
    <t>V22</t>
  </si>
  <si>
    <t>JOAO VITOR DA SILVA SANTOS</t>
  </si>
  <si>
    <t>V23</t>
  </si>
  <si>
    <t>JOSE MARIO ALMEIDA MACHADO</t>
  </si>
  <si>
    <t>V24</t>
  </si>
  <si>
    <t>JOSE MATEUS DAVID MOTA</t>
  </si>
  <si>
    <t>V25</t>
  </si>
  <si>
    <t>KARLOS ROBERTO GOMES DA SILVA PATRICIO</t>
  </si>
  <si>
    <t>V26</t>
  </si>
  <si>
    <t>KEYRISSON GABRIEL NOGUEIRA SANTIAGO</t>
  </si>
  <si>
    <t>V27</t>
  </si>
  <si>
    <t>LETICIA PEREIRA DA SILVA</t>
  </si>
  <si>
    <t>V28</t>
  </si>
  <si>
    <t>LEVI GOMES DA SILVA</t>
  </si>
  <si>
    <t>V29</t>
  </si>
  <si>
    <t>MARCIO GUILHERME ARAUJO GOMES</t>
  </si>
  <si>
    <t>V30</t>
  </si>
  <si>
    <t>MARCUS VINICIUS JUCA ALMEIDA</t>
  </si>
  <si>
    <t>V31</t>
  </si>
  <si>
    <t>MARIA ELIZA RIBEIRO DA SILVA</t>
  </si>
  <si>
    <t>V32</t>
  </si>
  <si>
    <t>MARIA LETICIA PEREIRA DA SILVA</t>
  </si>
  <si>
    <t>V33</t>
  </si>
  <si>
    <t>MATHEUS DA SILVA OLIVEIRA</t>
  </si>
  <si>
    <t>V34</t>
  </si>
  <si>
    <t>MATHEUS HAMILTON DA SILVA DE CASTRO</t>
  </si>
  <si>
    <t>V35</t>
  </si>
  <si>
    <t>MIGUEL ANGELO OLIVEIRA SILVA</t>
  </si>
  <si>
    <t>V36</t>
  </si>
  <si>
    <t>PAULO THIAGO MENEZES GOMES</t>
  </si>
  <si>
    <t>V37</t>
  </si>
  <si>
    <t>PEDRO YARLEI PEREIRA COSTA</t>
  </si>
  <si>
    <t>V38</t>
  </si>
  <si>
    <t>QUESIA DANTAS DOS REIS</t>
  </si>
  <si>
    <t>V39</t>
  </si>
  <si>
    <t>RAMIRO RODRIGUES RIBEIRO</t>
  </si>
  <si>
    <t>V40</t>
  </si>
  <si>
    <t>RUAN DEVID QUEIROZ DA SILVA</t>
  </si>
  <si>
    <t>V41</t>
  </si>
  <si>
    <t>RUAN QUEIROZ DA SILVA</t>
  </si>
  <si>
    <t>V42</t>
  </si>
  <si>
    <t>TALYSON GUILHERME BENICIO DA SILVA</t>
  </si>
  <si>
    <t>V43</t>
  </si>
  <si>
    <t>VINICIUS DAVI NEPOMUCENO DA SILVA</t>
  </si>
  <si>
    <t>V44</t>
  </si>
  <si>
    <t>WILLIANE DO NASCIMENTO SILVA</t>
  </si>
  <si>
    <t>V45</t>
  </si>
  <si>
    <t>YEGO ESTEVAO DA SILVA</t>
  </si>
  <si>
    <t>V46</t>
  </si>
  <si>
    <t>CAIO FERREIRA LEITE</t>
  </si>
  <si>
    <t>RESUMO DA TURMA</t>
  </si>
  <si>
    <t>Alunos na turma</t>
  </si>
  <si>
    <t>Concluíram as 5 listas</t>
  </si>
  <si>
    <t>Em andamento</t>
  </si>
  <si>
    <t>Nada entregue</t>
  </si>
  <si>
    <t>Sem lançamento ainda</t>
  </si>
  <si>
    <t>Média de listas entregues</t>
  </si>
  <si>
    <t>Conclusão média da turma</t>
  </si>
  <si>
    <t>As listas são encadeadas: constroem o mesmo banco, da Lista 1 à Lista 5. Um aluno que não entregou a Lista 1 ou a 2 não consegue fazer as seguintes — priorize esses casos.</t>
  </si>
  <si>
    <t>PAINEL POR LISTA — ONDE A TURMA ESTÁ</t>
  </si>
  <si>
    <t>Atualiza sozinho conforme você preenche a aba Controle</t>
  </si>
  <si>
    <t>Lista</t>
  </si>
  <si>
    <t>Conteúdo</t>
  </si>
  <si>
    <t>Entregue</t>
  </si>
  <si>
    <t>Parcial</t>
  </si>
  <si>
    <t>Pendente</t>
  </si>
  <si>
    <t>% entregue</t>
  </si>
  <si>
    <t>Lista 1</t>
  </si>
  <si>
    <t>Criar banco e tabelas (DDL)</t>
  </si>
  <si>
    <t>Lista 2</t>
  </si>
  <si>
    <t>Popular com os dados (INSERT)</t>
  </si>
  <si>
    <t>Lista 3</t>
  </si>
  <si>
    <t>Consultas com SELECT</t>
  </si>
  <si>
    <t>Lista 4</t>
  </si>
  <si>
    <t>UPDATE, DELETE e agregação</t>
  </si>
  <si>
    <t>Lista 5</t>
  </si>
  <si>
    <t>JOIN entre tabelas</t>
  </si>
  <si>
    <t>Como ler este painel</t>
  </si>
  <si>
    <t>A coluna % entregue mostra a proporção da turma que concluiu cada lista. Como as listas são encadeadas, a primeira linha com percentual baixo indica onde a turma travou: é nela que vale retomar o conteúdo antes de seguir.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</si>
</sst>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i/>
      <sz val="8.5"/>
      <color rgb="FF424242"/>
      <name val="Arial"/>
      <charset val="1"/>
    </font>
    <font>
      <b/>
      <sz val="9"/>
      <color rgb="FFFFFFFF"/>
      <name val="Arial"/>
      <charset val="1"/>
    </font>
    <font>
      <b/>
      <sz val="8.5"/>
      <name val="Arial"/>
      <charset val="1"/>
    </font>
    <font>
      <sz val="9"/>
      <name val="Arial"/>
      <charset val="1"/>
    </font>
    <font>
      <sz val="8.5"/>
      <color rgb="FF0000FF"/>
      <name val="Arial"/>
      <charset val="1"/>
    </font>
    <font>
      <b/>
      <sz val="9.5"/>
      <name val="Arial"/>
      <charset val="1"/>
    </font>
    <font>
      <b/>
      <sz val="9"/>
      <name val="Arial"/>
      <charset val="1"/>
    </font>
    <font>
      <i/>
      <sz val="8"/>
      <color rgb="FF8D6E00"/>
      <name val="Arial"/>
      <charset val="1"/>
    </font>
    <font>
      <b/>
      <sz val="11"/>
      <color rgb="FF1B5E20"/>
      <name val="Arial"/>
      <charset val="1"/>
    </font>
    <font>
      <b/>
      <sz val="13"/>
      <color rgb="FFFFFFFF"/>
      <name val="Arial"/>
      <charset val="1"/>
    </font>
    <font>
      <sz val="9.5"/>
      <color rgb="FFFFFFFF"/>
      <name val="Arial"/>
      <charset val="1"/>
    </font>
    <font>
      <b/>
      <sz val="9.5"/>
      <color rgb="FFFFFFFF"/>
      <name val="Arial"/>
      <charset val="1"/>
    </font>
    <font>
      <b/>
      <sz val="10.5"/>
      <color rgb="FF1B5E20"/>
      <name val="Arial"/>
      <charset val="1"/>
    </font>
    <font>
      <sz val="9"/>
      <color rgb="FF42424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FFF9C4"/>
        <bgColor rgb="FFFFF3C4"/>
      </patternFill>
    </fill>
    <fill>
      <patternFill patternType="solid">
        <fgColor rgb="FFE8F5E9"/>
        <bgColor rgb="FFF2F2F2"/>
      </patternFill>
    </fill>
    <fill>
      <patternFill patternType="solid">
        <fgColor rgb="FFF2F2F2"/>
        <b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6" fillId="0" borderId="0" xfId="0" applyFont="1" applyAlignment="1">
      <alignment vertical="top" wrapText="1"/>
    </xf>
    <xf numFmtId="0" fontId="13" fillId="2" borderId="0" xfId="0" applyFont="1" applyFill="1" applyAlignment="1">
      <alignment vertical="center" indent="1"/>
    </xf>
    <xf numFmtId="0" fontId="12" fillId="2" borderId="0" xfId="0" applyFont="1" applyFill="1" applyAlignment="1">
      <alignment vertical="center" indent="1"/>
    </xf>
    <xf numFmtId="0" fontId="3" fillId="0" borderId="0" xfId="0" applyFont="1"/>
    <xf numFmtId="0" fontId="2" fillId="2" borderId="0" xfId="0" applyFont="1" applyFill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164" fontId="8" fillId="5" borderId="1" xfId="0" applyNumberFormat="1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11" fillId="0" borderId="0" xfId="0" applyFont="1"/>
    <xf numFmtId="0" fontId="6" fillId="0" borderId="0" xfId="0" applyFont="1"/>
    <xf numFmtId="0" fontId="8" fillId="6" borderId="1" xfId="0" applyFont="1" applyFill="1" applyBorder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9" fontId="8" fillId="6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8">
    <dxf>
      <font>
        <b/>
        <sz val="9"/>
        <color rgb="FF1B5E20"/>
        <name val="Arial"/>
        <charset val="1"/>
      </font>
    </dxf>
    <dxf>
      <font>
        <b/>
        <sz val="9"/>
        <color rgb="FFB71C1C"/>
        <name val="Arial"/>
        <charset val="1"/>
      </font>
      <fill>
        <patternFill>
          <bgColor rgb="FFFFCDD2"/>
        </patternFill>
      </fill>
    </dxf>
    <dxf>
      <font>
        <b/>
        <sz val="8"/>
        <color rgb="FFB71C1C"/>
        <name val="Arial"/>
        <charset val="1"/>
      </font>
      <fill>
        <patternFill>
          <bgColor rgb="FFFFCDD2"/>
        </patternFill>
      </fill>
    </dxf>
    <dxf>
      <font>
        <b/>
        <sz val="8"/>
        <color rgb="FF1B5E20"/>
        <name val="Arial"/>
        <charset val="1"/>
      </font>
      <fill>
        <patternFill>
          <bgColor rgb="FFC8E6C9"/>
        </patternFill>
      </fill>
    </dxf>
    <dxf>
      <fill>
        <patternFill>
          <bgColor rgb="FFFFE0E0"/>
        </patternFill>
      </fill>
    </dxf>
    <dxf>
      <font>
        <b/>
        <sz val="8"/>
        <color rgb="FFB71C1C"/>
        <name val="Arial"/>
        <charset val="1"/>
      </font>
      <fill>
        <patternFill>
          <bgColor rgb="FFFFCDD2"/>
        </patternFill>
      </fill>
    </dxf>
    <dxf>
      <font>
        <b/>
        <sz val="8"/>
        <color rgb="FF8D6E00"/>
        <name val="Arial"/>
        <charset val="1"/>
      </font>
      <fill>
        <patternFill>
          <bgColor rgb="FFFFF3C4"/>
        </patternFill>
      </fill>
    </dxf>
    <dxf>
      <font>
        <b/>
        <sz val="8"/>
        <color rgb="FF1B5E20"/>
        <name val="Arial"/>
        <charset val="1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D6E00"/>
      <rgbColor rgb="FF800080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FF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F3C4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B71C1C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zoomScaleNormal="100" workbookViewId="0">
      <pane xSplit="2" ySplit="5" topLeftCell="C25" activePane="bottomRight" state="frozen"/>
      <selection pane="topRight" activeCell="C1" sqref="C1"/>
      <selection pane="bottomLeft" activeCell="A6" sqref="A6"/>
      <selection pane="bottomRight" activeCell="D48" sqref="D48"/>
    </sheetView>
  </sheetViews>
  <sheetFormatPr defaultColWidth="8.7109375" defaultRowHeight="15" x14ac:dyDescent="0.25"/>
  <cols>
    <col min="1" max="1" width="6" customWidth="1"/>
    <col min="2" max="2" width="38" customWidth="1"/>
    <col min="3" max="5" width="11" customWidth="1"/>
    <col min="6" max="6" width="13" customWidth="1"/>
    <col min="7" max="9" width="11" customWidth="1"/>
    <col min="10" max="10" width="14" customWidth="1"/>
    <col min="11" max="11" width="34" customWidth="1"/>
  </cols>
  <sheetData>
    <row r="1" spans="1:11" ht="24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spans="1:11" ht="33.7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</row>
    <row r="6" spans="1:11" x14ac:dyDescent="0.25">
      <c r="A6" s="9" t="s">
        <v>14</v>
      </c>
      <c r="B6" s="10" t="s">
        <v>15</v>
      </c>
      <c r="C6" s="11"/>
      <c r="D6" s="11" t="s">
        <v>119</v>
      </c>
      <c r="E6" s="11"/>
      <c r="F6" s="11"/>
      <c r="G6" s="11"/>
      <c r="H6" s="12">
        <f t="shared" ref="H6:H51" si="0">COUNTIF(C6:G6,"Entregue")+COUNTIF(C6:G6,"Parcial")*0.5</f>
        <v>1</v>
      </c>
      <c r="I6" s="13">
        <f t="shared" ref="I6:I51" si="1">H6/5</f>
        <v>0.2</v>
      </c>
      <c r="J6" s="9" t="str">
        <f t="shared" ref="J6:J51" si="2">IF(COUNTA(C6:G6)=0,"Sem lançamento",IF(H6=5,"Completo",IF(H6=0,"Nada entregue","Em andamento")))</f>
        <v>Em andamento</v>
      </c>
      <c r="K6" s="14"/>
    </row>
    <row r="7" spans="1:11" x14ac:dyDescent="0.25">
      <c r="A7" s="15" t="s">
        <v>16</v>
      </c>
      <c r="B7" s="16" t="s">
        <v>17</v>
      </c>
      <c r="C7" s="11"/>
      <c r="D7" s="11" t="s">
        <v>119</v>
      </c>
      <c r="E7" s="11"/>
      <c r="F7" s="11"/>
      <c r="G7" s="11"/>
      <c r="H7" s="17">
        <f t="shared" si="0"/>
        <v>1</v>
      </c>
      <c r="I7" s="18">
        <f t="shared" si="1"/>
        <v>0.2</v>
      </c>
      <c r="J7" s="15" t="str">
        <f t="shared" si="2"/>
        <v>Em andamento</v>
      </c>
      <c r="K7" s="19"/>
    </row>
    <row r="8" spans="1:11" x14ac:dyDescent="0.25">
      <c r="A8" s="9" t="s">
        <v>18</v>
      </c>
      <c r="B8" s="10" t="s">
        <v>19</v>
      </c>
      <c r="C8" s="11"/>
      <c r="D8" s="11" t="s">
        <v>119</v>
      </c>
      <c r="E8" s="11" t="s">
        <v>120</v>
      </c>
      <c r="F8" s="11"/>
      <c r="G8" s="11"/>
      <c r="H8" s="12">
        <f t="shared" si="0"/>
        <v>1.5</v>
      </c>
      <c r="I8" s="13">
        <f t="shared" si="1"/>
        <v>0.3</v>
      </c>
      <c r="J8" s="9" t="str">
        <f t="shared" si="2"/>
        <v>Em andamento</v>
      </c>
      <c r="K8" s="14"/>
    </row>
    <row r="9" spans="1:11" x14ac:dyDescent="0.25">
      <c r="A9" s="15" t="s">
        <v>20</v>
      </c>
      <c r="B9" s="16" t="s">
        <v>21</v>
      </c>
      <c r="C9" s="11"/>
      <c r="D9" s="11" t="s">
        <v>119</v>
      </c>
      <c r="E9" s="11"/>
      <c r="F9" s="11"/>
      <c r="G9" s="11"/>
      <c r="H9" s="17">
        <f t="shared" si="0"/>
        <v>1</v>
      </c>
      <c r="I9" s="18">
        <f t="shared" si="1"/>
        <v>0.2</v>
      </c>
      <c r="J9" s="15" t="str">
        <f t="shared" si="2"/>
        <v>Em andamento</v>
      </c>
      <c r="K9" s="19"/>
    </row>
    <row r="10" spans="1:11" hidden="1" x14ac:dyDescent="0.25">
      <c r="A10" s="9" t="s">
        <v>22</v>
      </c>
      <c r="B10" s="10" t="s">
        <v>23</v>
      </c>
      <c r="C10" s="11"/>
      <c r="D10" s="11"/>
      <c r="E10" s="11"/>
      <c r="F10" s="11"/>
      <c r="G10" s="11"/>
      <c r="H10" s="12">
        <f t="shared" si="0"/>
        <v>0</v>
      </c>
      <c r="I10" s="13">
        <f t="shared" si="1"/>
        <v>0</v>
      </c>
      <c r="J10" s="9" t="str">
        <f t="shared" si="2"/>
        <v>Sem lançamento</v>
      </c>
      <c r="K10" s="14"/>
    </row>
    <row r="11" spans="1:11" x14ac:dyDescent="0.25">
      <c r="A11" s="15" t="s">
        <v>24</v>
      </c>
      <c r="B11" s="16" t="s">
        <v>25</v>
      </c>
      <c r="C11" s="11"/>
      <c r="D11" s="11" t="s">
        <v>119</v>
      </c>
      <c r="E11" s="11"/>
      <c r="F11" s="11"/>
      <c r="G11" s="11"/>
      <c r="H11" s="17">
        <f t="shared" si="0"/>
        <v>1</v>
      </c>
      <c r="I11" s="18">
        <f t="shared" si="1"/>
        <v>0.2</v>
      </c>
      <c r="J11" s="15" t="str">
        <f t="shared" si="2"/>
        <v>Em andamento</v>
      </c>
      <c r="K11" s="19"/>
    </row>
    <row r="12" spans="1:11" x14ac:dyDescent="0.25">
      <c r="A12" s="9" t="s">
        <v>26</v>
      </c>
      <c r="B12" s="10" t="s">
        <v>27</v>
      </c>
      <c r="C12" s="11"/>
      <c r="D12" s="11" t="s">
        <v>119</v>
      </c>
      <c r="E12" s="11"/>
      <c r="F12" s="11"/>
      <c r="G12" s="11"/>
      <c r="H12" s="12">
        <f t="shared" si="0"/>
        <v>1</v>
      </c>
      <c r="I12" s="13">
        <f t="shared" si="1"/>
        <v>0.2</v>
      </c>
      <c r="J12" s="9" t="str">
        <f t="shared" si="2"/>
        <v>Em andamento</v>
      </c>
      <c r="K12" s="14"/>
    </row>
    <row r="13" spans="1:11" x14ac:dyDescent="0.25">
      <c r="A13" s="15" t="s">
        <v>28</v>
      </c>
      <c r="B13" s="16" t="s">
        <v>29</v>
      </c>
      <c r="C13" s="11"/>
      <c r="D13" s="11" t="s">
        <v>119</v>
      </c>
      <c r="E13" s="11"/>
      <c r="F13" s="11"/>
      <c r="G13" s="11"/>
      <c r="H13" s="17">
        <f t="shared" si="0"/>
        <v>1</v>
      </c>
      <c r="I13" s="18">
        <f t="shared" si="1"/>
        <v>0.2</v>
      </c>
      <c r="J13" s="15" t="str">
        <f t="shared" si="2"/>
        <v>Em andamento</v>
      </c>
      <c r="K13" s="19"/>
    </row>
    <row r="14" spans="1:11" x14ac:dyDescent="0.25">
      <c r="A14" s="9" t="s">
        <v>30</v>
      </c>
      <c r="B14" s="10" t="s">
        <v>31</v>
      </c>
      <c r="C14" s="11"/>
      <c r="D14" s="11" t="s">
        <v>119</v>
      </c>
      <c r="E14" s="11"/>
      <c r="F14" s="11"/>
      <c r="G14" s="11"/>
      <c r="H14" s="12">
        <f t="shared" si="0"/>
        <v>1</v>
      </c>
      <c r="I14" s="13">
        <f t="shared" si="1"/>
        <v>0.2</v>
      </c>
      <c r="J14" s="9" t="str">
        <f t="shared" si="2"/>
        <v>Em andamento</v>
      </c>
      <c r="K14" s="14"/>
    </row>
    <row r="15" spans="1:11" x14ac:dyDescent="0.25">
      <c r="A15" s="15" t="s">
        <v>32</v>
      </c>
      <c r="B15" s="16" t="s">
        <v>33</v>
      </c>
      <c r="C15" s="11"/>
      <c r="D15" s="11" t="s">
        <v>119</v>
      </c>
      <c r="E15" s="11"/>
      <c r="F15" s="11"/>
      <c r="G15" s="11"/>
      <c r="H15" s="17">
        <f t="shared" si="0"/>
        <v>1</v>
      </c>
      <c r="I15" s="18">
        <f t="shared" si="1"/>
        <v>0.2</v>
      </c>
      <c r="J15" s="15" t="str">
        <f t="shared" si="2"/>
        <v>Em andamento</v>
      </c>
      <c r="K15" s="19"/>
    </row>
    <row r="16" spans="1:11" x14ac:dyDescent="0.25">
      <c r="A16" s="9" t="s">
        <v>34</v>
      </c>
      <c r="B16" s="10" t="s">
        <v>35</v>
      </c>
      <c r="C16" s="11"/>
      <c r="D16" s="11" t="s">
        <v>121</v>
      </c>
      <c r="E16" s="11"/>
      <c r="F16" s="11"/>
      <c r="G16" s="11"/>
      <c r="H16" s="12">
        <f t="shared" si="0"/>
        <v>0</v>
      </c>
      <c r="I16" s="13">
        <f t="shared" si="1"/>
        <v>0</v>
      </c>
      <c r="J16" s="9" t="str">
        <f t="shared" si="2"/>
        <v>Nada entregue</v>
      </c>
      <c r="K16" s="14"/>
    </row>
    <row r="17" spans="1:11" x14ac:dyDescent="0.25">
      <c r="A17" s="15" t="s">
        <v>36</v>
      </c>
      <c r="B17" s="16" t="s">
        <v>37</v>
      </c>
      <c r="C17" s="11"/>
      <c r="D17" s="11" t="s">
        <v>119</v>
      </c>
      <c r="E17" s="11"/>
      <c r="F17" s="11"/>
      <c r="G17" s="11"/>
      <c r="H17" s="17">
        <f t="shared" si="0"/>
        <v>1</v>
      </c>
      <c r="I17" s="18">
        <f t="shared" si="1"/>
        <v>0.2</v>
      </c>
      <c r="J17" s="15" t="str">
        <f t="shared" si="2"/>
        <v>Em andamento</v>
      </c>
      <c r="K17" s="19"/>
    </row>
    <row r="18" spans="1:11" x14ac:dyDescent="0.25">
      <c r="A18" s="9" t="s">
        <v>38</v>
      </c>
      <c r="B18" s="10" t="s">
        <v>39</v>
      </c>
      <c r="C18" s="11"/>
      <c r="D18" s="11" t="s">
        <v>119</v>
      </c>
      <c r="E18" s="11"/>
      <c r="F18" s="11"/>
      <c r="G18" s="11"/>
      <c r="H18" s="12">
        <f t="shared" si="0"/>
        <v>1</v>
      </c>
      <c r="I18" s="13">
        <f t="shared" si="1"/>
        <v>0.2</v>
      </c>
      <c r="J18" s="9" t="str">
        <f t="shared" si="2"/>
        <v>Em andamento</v>
      </c>
      <c r="K18" s="14"/>
    </row>
    <row r="19" spans="1:11" x14ac:dyDescent="0.25">
      <c r="A19" s="15" t="s">
        <v>40</v>
      </c>
      <c r="B19" s="16" t="s">
        <v>41</v>
      </c>
      <c r="C19" s="11"/>
      <c r="D19" s="11" t="s">
        <v>121</v>
      </c>
      <c r="E19" s="11"/>
      <c r="F19" s="11"/>
      <c r="G19" s="11"/>
      <c r="H19" s="17">
        <f t="shared" si="0"/>
        <v>0</v>
      </c>
      <c r="I19" s="18">
        <f t="shared" si="1"/>
        <v>0</v>
      </c>
      <c r="J19" s="15" t="str">
        <f t="shared" si="2"/>
        <v>Nada entregue</v>
      </c>
      <c r="K19" s="19"/>
    </row>
    <row r="20" spans="1:11" x14ac:dyDescent="0.25">
      <c r="A20" s="9" t="s">
        <v>42</v>
      </c>
      <c r="B20" s="10" t="s">
        <v>43</v>
      </c>
      <c r="C20" s="11"/>
      <c r="D20" s="11" t="s">
        <v>119</v>
      </c>
      <c r="E20" s="11"/>
      <c r="F20" s="11"/>
      <c r="G20" s="11"/>
      <c r="H20" s="12">
        <f t="shared" si="0"/>
        <v>1</v>
      </c>
      <c r="I20" s="13">
        <f t="shared" si="1"/>
        <v>0.2</v>
      </c>
      <c r="J20" s="9" t="str">
        <f t="shared" si="2"/>
        <v>Em andamento</v>
      </c>
      <c r="K20" s="14"/>
    </row>
    <row r="21" spans="1:11" x14ac:dyDescent="0.25">
      <c r="A21" s="15" t="s">
        <v>44</v>
      </c>
      <c r="B21" s="16" t="s">
        <v>45</v>
      </c>
      <c r="C21" s="11"/>
      <c r="D21" s="11" t="s">
        <v>119</v>
      </c>
      <c r="E21" s="11"/>
      <c r="F21" s="11"/>
      <c r="G21" s="11"/>
      <c r="H21" s="17">
        <f t="shared" si="0"/>
        <v>1</v>
      </c>
      <c r="I21" s="18">
        <f t="shared" si="1"/>
        <v>0.2</v>
      </c>
      <c r="J21" s="15" t="str">
        <f t="shared" si="2"/>
        <v>Em andamento</v>
      </c>
      <c r="K21" s="19"/>
    </row>
    <row r="22" spans="1:11" x14ac:dyDescent="0.25">
      <c r="A22" s="9" t="s">
        <v>46</v>
      </c>
      <c r="B22" s="10" t="s">
        <v>47</v>
      </c>
      <c r="C22" s="11"/>
      <c r="D22" s="11" t="s">
        <v>119</v>
      </c>
      <c r="E22" s="11"/>
      <c r="F22" s="11"/>
      <c r="G22" s="11"/>
      <c r="H22" s="12">
        <f t="shared" si="0"/>
        <v>1</v>
      </c>
      <c r="I22" s="13">
        <f t="shared" si="1"/>
        <v>0.2</v>
      </c>
      <c r="J22" s="9" t="str">
        <f t="shared" si="2"/>
        <v>Em andamento</v>
      </c>
      <c r="K22" s="14"/>
    </row>
    <row r="23" spans="1:11" x14ac:dyDescent="0.25">
      <c r="A23" s="15" t="s">
        <v>48</v>
      </c>
      <c r="B23" s="16" t="s">
        <v>49</v>
      </c>
      <c r="C23" s="11"/>
      <c r="D23" s="11" t="s">
        <v>119</v>
      </c>
      <c r="E23" s="11"/>
      <c r="F23" s="11"/>
      <c r="G23" s="11"/>
      <c r="H23" s="17">
        <f t="shared" si="0"/>
        <v>1</v>
      </c>
      <c r="I23" s="18">
        <f t="shared" si="1"/>
        <v>0.2</v>
      </c>
      <c r="J23" s="15" t="str">
        <f t="shared" si="2"/>
        <v>Em andamento</v>
      </c>
      <c r="K23" s="19"/>
    </row>
    <row r="24" spans="1:11" x14ac:dyDescent="0.25">
      <c r="A24" s="9" t="s">
        <v>50</v>
      </c>
      <c r="B24" s="10" t="s">
        <v>51</v>
      </c>
      <c r="C24" s="11"/>
      <c r="D24" s="11" t="s">
        <v>119</v>
      </c>
      <c r="E24" s="11"/>
      <c r="F24" s="11"/>
      <c r="G24" s="11"/>
      <c r="H24" s="12">
        <f t="shared" si="0"/>
        <v>1</v>
      </c>
      <c r="I24" s="13">
        <f t="shared" si="1"/>
        <v>0.2</v>
      </c>
      <c r="J24" s="9" t="str">
        <f t="shared" si="2"/>
        <v>Em andamento</v>
      </c>
      <c r="K24" s="14"/>
    </row>
    <row r="25" spans="1:11" x14ac:dyDescent="0.25">
      <c r="A25" s="15" t="s">
        <v>52</v>
      </c>
      <c r="B25" s="16" t="s">
        <v>53</v>
      </c>
      <c r="C25" s="11"/>
      <c r="D25" s="11" t="s">
        <v>119</v>
      </c>
      <c r="E25" s="11"/>
      <c r="F25" s="11"/>
      <c r="G25" s="11"/>
      <c r="H25" s="17">
        <f t="shared" si="0"/>
        <v>1</v>
      </c>
      <c r="I25" s="18">
        <f t="shared" si="1"/>
        <v>0.2</v>
      </c>
      <c r="J25" s="15" t="str">
        <f t="shared" si="2"/>
        <v>Em andamento</v>
      </c>
      <c r="K25" s="19"/>
    </row>
    <row r="26" spans="1:11" x14ac:dyDescent="0.25">
      <c r="A26" s="9" t="s">
        <v>54</v>
      </c>
      <c r="B26" s="10" t="s">
        <v>55</v>
      </c>
      <c r="C26" s="11"/>
      <c r="D26" s="11" t="s">
        <v>119</v>
      </c>
      <c r="E26" s="11"/>
      <c r="F26" s="11"/>
      <c r="G26" s="11"/>
      <c r="H26" s="12">
        <f t="shared" si="0"/>
        <v>1</v>
      </c>
      <c r="I26" s="13">
        <f t="shared" si="1"/>
        <v>0.2</v>
      </c>
      <c r="J26" s="9" t="str">
        <f t="shared" si="2"/>
        <v>Em andamento</v>
      </c>
      <c r="K26" s="14"/>
    </row>
    <row r="27" spans="1:11" x14ac:dyDescent="0.25">
      <c r="A27" s="15" t="s">
        <v>56</v>
      </c>
      <c r="B27" s="16" t="s">
        <v>57</v>
      </c>
      <c r="C27" s="11"/>
      <c r="D27" s="11" t="s">
        <v>121</v>
      </c>
      <c r="E27" s="11"/>
      <c r="F27" s="11"/>
      <c r="G27" s="11"/>
      <c r="H27" s="17">
        <f t="shared" si="0"/>
        <v>0</v>
      </c>
      <c r="I27" s="18">
        <f t="shared" si="1"/>
        <v>0</v>
      </c>
      <c r="J27" s="15" t="str">
        <f t="shared" si="2"/>
        <v>Nada entregue</v>
      </c>
      <c r="K27" s="19"/>
    </row>
    <row r="28" spans="1:11" x14ac:dyDescent="0.25">
      <c r="A28" s="9" t="s">
        <v>58</v>
      </c>
      <c r="B28" s="10" t="s">
        <v>59</v>
      </c>
      <c r="C28" s="11"/>
      <c r="D28" s="11" t="s">
        <v>119</v>
      </c>
      <c r="E28" s="11"/>
      <c r="F28" s="11"/>
      <c r="G28" s="11"/>
      <c r="H28" s="12">
        <f t="shared" si="0"/>
        <v>1</v>
      </c>
      <c r="I28" s="13">
        <f t="shared" si="1"/>
        <v>0.2</v>
      </c>
      <c r="J28" s="9" t="str">
        <f t="shared" si="2"/>
        <v>Em andamento</v>
      </c>
      <c r="K28" s="14"/>
    </row>
    <row r="29" spans="1:11" hidden="1" x14ac:dyDescent="0.25">
      <c r="A29" s="15" t="s">
        <v>60</v>
      </c>
      <c r="B29" s="16" t="s">
        <v>61</v>
      </c>
      <c r="C29" s="11"/>
      <c r="D29" s="11"/>
      <c r="E29" s="11"/>
      <c r="F29" s="11"/>
      <c r="G29" s="11"/>
      <c r="H29" s="17">
        <f t="shared" si="0"/>
        <v>0</v>
      </c>
      <c r="I29" s="18">
        <f t="shared" si="1"/>
        <v>0</v>
      </c>
      <c r="J29" s="15" t="str">
        <f t="shared" si="2"/>
        <v>Sem lançamento</v>
      </c>
      <c r="K29" s="19"/>
    </row>
    <row r="30" spans="1:11" x14ac:dyDescent="0.25">
      <c r="A30" s="9" t="s">
        <v>62</v>
      </c>
      <c r="B30" s="10" t="s">
        <v>63</v>
      </c>
      <c r="C30" s="11"/>
      <c r="D30" s="11" t="s">
        <v>119</v>
      </c>
      <c r="E30" s="11"/>
      <c r="F30" s="11"/>
      <c r="G30" s="11"/>
      <c r="H30" s="12">
        <f t="shared" si="0"/>
        <v>1</v>
      </c>
      <c r="I30" s="13">
        <f t="shared" si="1"/>
        <v>0.2</v>
      </c>
      <c r="J30" s="9" t="str">
        <f t="shared" si="2"/>
        <v>Em andamento</v>
      </c>
      <c r="K30" s="14"/>
    </row>
    <row r="31" spans="1:11" x14ac:dyDescent="0.25">
      <c r="A31" s="15" t="s">
        <v>64</v>
      </c>
      <c r="B31" s="16" t="s">
        <v>65</v>
      </c>
      <c r="C31" s="11"/>
      <c r="D31" s="11" t="s">
        <v>121</v>
      </c>
      <c r="E31" s="11"/>
      <c r="F31" s="11"/>
      <c r="G31" s="11"/>
      <c r="H31" s="17">
        <f t="shared" si="0"/>
        <v>0</v>
      </c>
      <c r="I31" s="18">
        <f t="shared" si="1"/>
        <v>0</v>
      </c>
      <c r="J31" s="15" t="str">
        <f t="shared" si="2"/>
        <v>Nada entregue</v>
      </c>
      <c r="K31" s="19"/>
    </row>
    <row r="32" spans="1:11" x14ac:dyDescent="0.25">
      <c r="A32" s="9" t="s">
        <v>66</v>
      </c>
      <c r="B32" s="10" t="s">
        <v>67</v>
      </c>
      <c r="C32" s="11"/>
      <c r="D32" s="11" t="s">
        <v>119</v>
      </c>
      <c r="E32" s="11"/>
      <c r="F32" s="11"/>
      <c r="G32" s="11"/>
      <c r="H32" s="12">
        <f t="shared" si="0"/>
        <v>1</v>
      </c>
      <c r="I32" s="13">
        <f t="shared" si="1"/>
        <v>0.2</v>
      </c>
      <c r="J32" s="9" t="str">
        <f t="shared" si="2"/>
        <v>Em andamento</v>
      </c>
      <c r="K32" s="14"/>
    </row>
    <row r="33" spans="1:11" x14ac:dyDescent="0.25">
      <c r="A33" s="15" t="s">
        <v>68</v>
      </c>
      <c r="B33" s="16" t="s">
        <v>69</v>
      </c>
      <c r="C33" s="11"/>
      <c r="D33" s="11" t="s">
        <v>119</v>
      </c>
      <c r="E33" s="11"/>
      <c r="F33" s="11"/>
      <c r="G33" s="11"/>
      <c r="H33" s="17">
        <f t="shared" si="0"/>
        <v>1</v>
      </c>
      <c r="I33" s="18">
        <f t="shared" si="1"/>
        <v>0.2</v>
      </c>
      <c r="J33" s="15" t="str">
        <f t="shared" si="2"/>
        <v>Em andamento</v>
      </c>
      <c r="K33" s="19"/>
    </row>
    <row r="34" spans="1:11" x14ac:dyDescent="0.25">
      <c r="A34" s="9" t="s">
        <v>70</v>
      </c>
      <c r="B34" s="10" t="s">
        <v>71</v>
      </c>
      <c r="C34" s="11"/>
      <c r="D34" s="11" t="s">
        <v>119</v>
      </c>
      <c r="E34" s="11"/>
      <c r="F34" s="11"/>
      <c r="G34" s="11"/>
      <c r="H34" s="12">
        <f t="shared" si="0"/>
        <v>1</v>
      </c>
      <c r="I34" s="13">
        <f t="shared" si="1"/>
        <v>0.2</v>
      </c>
      <c r="J34" s="9" t="str">
        <f t="shared" si="2"/>
        <v>Em andamento</v>
      </c>
      <c r="K34" s="14"/>
    </row>
    <row r="35" spans="1:11" x14ac:dyDescent="0.25">
      <c r="A35" s="15" t="s">
        <v>72</v>
      </c>
      <c r="B35" s="16" t="s">
        <v>73</v>
      </c>
      <c r="C35" s="11"/>
      <c r="D35" s="11" t="s">
        <v>121</v>
      </c>
      <c r="E35" s="11"/>
      <c r="F35" s="11"/>
      <c r="G35" s="11"/>
      <c r="H35" s="17">
        <f t="shared" si="0"/>
        <v>0</v>
      </c>
      <c r="I35" s="18">
        <f t="shared" si="1"/>
        <v>0</v>
      </c>
      <c r="J35" s="15" t="str">
        <f t="shared" si="2"/>
        <v>Nada entregue</v>
      </c>
      <c r="K35" s="19"/>
    </row>
    <row r="36" spans="1:11" x14ac:dyDescent="0.25">
      <c r="A36" s="9" t="s">
        <v>74</v>
      </c>
      <c r="B36" s="10" t="s">
        <v>75</v>
      </c>
      <c r="C36" s="11"/>
      <c r="D36" s="11" t="s">
        <v>119</v>
      </c>
      <c r="E36" s="11"/>
      <c r="F36" s="11"/>
      <c r="G36" s="11"/>
      <c r="H36" s="12">
        <f t="shared" si="0"/>
        <v>1</v>
      </c>
      <c r="I36" s="13">
        <f t="shared" si="1"/>
        <v>0.2</v>
      </c>
      <c r="J36" s="9" t="str">
        <f t="shared" si="2"/>
        <v>Em andamento</v>
      </c>
      <c r="K36" s="14"/>
    </row>
    <row r="37" spans="1:11" x14ac:dyDescent="0.25">
      <c r="A37" s="15" t="s">
        <v>76</v>
      </c>
      <c r="B37" s="16" t="s">
        <v>77</v>
      </c>
      <c r="C37" s="11"/>
      <c r="D37" s="11" t="s">
        <v>119</v>
      </c>
      <c r="E37" s="11"/>
      <c r="F37" s="11"/>
      <c r="G37" s="11"/>
      <c r="H37" s="17">
        <f t="shared" si="0"/>
        <v>1</v>
      </c>
      <c r="I37" s="18">
        <f t="shared" si="1"/>
        <v>0.2</v>
      </c>
      <c r="J37" s="15" t="str">
        <f t="shared" si="2"/>
        <v>Em andamento</v>
      </c>
      <c r="K37" s="19"/>
    </row>
    <row r="38" spans="1:11" x14ac:dyDescent="0.25">
      <c r="A38" s="9" t="s">
        <v>78</v>
      </c>
      <c r="B38" s="10" t="s">
        <v>79</v>
      </c>
      <c r="C38" s="11"/>
      <c r="D38" s="11" t="s">
        <v>119</v>
      </c>
      <c r="E38" s="11"/>
      <c r="F38" s="11"/>
      <c r="G38" s="11"/>
      <c r="H38" s="12">
        <f t="shared" si="0"/>
        <v>1</v>
      </c>
      <c r="I38" s="13">
        <f t="shared" si="1"/>
        <v>0.2</v>
      </c>
      <c r="J38" s="9" t="str">
        <f t="shared" si="2"/>
        <v>Em andamento</v>
      </c>
      <c r="K38" s="14"/>
    </row>
    <row r="39" spans="1:11" x14ac:dyDescent="0.25">
      <c r="A39" s="15" t="s">
        <v>80</v>
      </c>
      <c r="B39" s="16" t="s">
        <v>81</v>
      </c>
      <c r="C39" s="11"/>
      <c r="D39" s="11" t="s">
        <v>119</v>
      </c>
      <c r="E39" s="11"/>
      <c r="F39" s="11"/>
      <c r="G39" s="11"/>
      <c r="H39" s="17">
        <f t="shared" si="0"/>
        <v>1</v>
      </c>
      <c r="I39" s="18">
        <f t="shared" si="1"/>
        <v>0.2</v>
      </c>
      <c r="J39" s="15" t="str">
        <f t="shared" si="2"/>
        <v>Em andamento</v>
      </c>
      <c r="K39" s="19"/>
    </row>
    <row r="40" spans="1:11" x14ac:dyDescent="0.25">
      <c r="A40" s="9" t="s">
        <v>82</v>
      </c>
      <c r="B40" s="10" t="s">
        <v>83</v>
      </c>
      <c r="C40" s="11"/>
      <c r="D40" s="11" t="s">
        <v>119</v>
      </c>
      <c r="E40" s="11"/>
      <c r="F40" s="11"/>
      <c r="G40" s="11"/>
      <c r="H40" s="12">
        <f t="shared" si="0"/>
        <v>1</v>
      </c>
      <c r="I40" s="13">
        <f t="shared" si="1"/>
        <v>0.2</v>
      </c>
      <c r="J40" s="9" t="str">
        <f t="shared" si="2"/>
        <v>Em andamento</v>
      </c>
      <c r="K40" s="14"/>
    </row>
    <row r="41" spans="1:11" hidden="1" x14ac:dyDescent="0.25">
      <c r="A41" s="15" t="s">
        <v>84</v>
      </c>
      <c r="B41" s="16" t="s">
        <v>85</v>
      </c>
      <c r="C41" s="11"/>
      <c r="D41" s="11"/>
      <c r="E41" s="11"/>
      <c r="F41" s="11"/>
      <c r="G41" s="11"/>
      <c r="H41" s="17">
        <f t="shared" si="0"/>
        <v>0</v>
      </c>
      <c r="I41" s="18">
        <f t="shared" si="1"/>
        <v>0</v>
      </c>
      <c r="J41" s="15" t="str">
        <f t="shared" si="2"/>
        <v>Sem lançamento</v>
      </c>
      <c r="K41" s="19"/>
    </row>
    <row r="42" spans="1:11" x14ac:dyDescent="0.25">
      <c r="A42" s="9" t="s">
        <v>86</v>
      </c>
      <c r="B42" s="10" t="s">
        <v>87</v>
      </c>
      <c r="C42" s="11"/>
      <c r="D42" s="11" t="s">
        <v>119</v>
      </c>
      <c r="E42" s="11"/>
      <c r="F42" s="11"/>
      <c r="G42" s="11"/>
      <c r="H42" s="12">
        <f t="shared" si="0"/>
        <v>1</v>
      </c>
      <c r="I42" s="13">
        <f t="shared" si="1"/>
        <v>0.2</v>
      </c>
      <c r="J42" s="9" t="str">
        <f t="shared" si="2"/>
        <v>Em andamento</v>
      </c>
      <c r="K42" s="14"/>
    </row>
    <row r="43" spans="1:11" x14ac:dyDescent="0.25">
      <c r="A43" s="15" t="s">
        <v>88</v>
      </c>
      <c r="B43" s="16" t="s">
        <v>89</v>
      </c>
      <c r="C43" s="11"/>
      <c r="D43" s="11" t="s">
        <v>119</v>
      </c>
      <c r="E43" s="11"/>
      <c r="F43" s="11"/>
      <c r="G43" s="11"/>
      <c r="H43" s="17">
        <f t="shared" si="0"/>
        <v>1</v>
      </c>
      <c r="I43" s="18">
        <f t="shared" si="1"/>
        <v>0.2</v>
      </c>
      <c r="J43" s="15" t="str">
        <f t="shared" si="2"/>
        <v>Em andamento</v>
      </c>
      <c r="K43" s="19"/>
    </row>
    <row r="44" spans="1:11" x14ac:dyDescent="0.25">
      <c r="A44" s="9" t="s">
        <v>90</v>
      </c>
      <c r="B44" s="10" t="s">
        <v>91</v>
      </c>
      <c r="C44" s="11"/>
      <c r="D44" s="11" t="s">
        <v>120</v>
      </c>
      <c r="E44" s="11"/>
      <c r="F44" s="11"/>
      <c r="G44" s="11"/>
      <c r="H44" s="12">
        <f t="shared" si="0"/>
        <v>0.5</v>
      </c>
      <c r="I44" s="13">
        <f t="shared" si="1"/>
        <v>0.1</v>
      </c>
      <c r="J44" s="9" t="str">
        <f t="shared" si="2"/>
        <v>Em andamento</v>
      </c>
      <c r="K44" s="14"/>
    </row>
    <row r="45" spans="1:11" x14ac:dyDescent="0.25">
      <c r="A45" s="15" t="s">
        <v>92</v>
      </c>
      <c r="B45" s="16" t="s">
        <v>93</v>
      </c>
      <c r="C45" s="11"/>
      <c r="D45" s="11" t="s">
        <v>119</v>
      </c>
      <c r="E45" s="11"/>
      <c r="F45" s="11"/>
      <c r="G45" s="11"/>
      <c r="H45" s="17">
        <f t="shared" si="0"/>
        <v>1</v>
      </c>
      <c r="I45" s="18">
        <f t="shared" si="1"/>
        <v>0.2</v>
      </c>
      <c r="J45" s="15" t="str">
        <f t="shared" si="2"/>
        <v>Em andamento</v>
      </c>
      <c r="K45" s="19"/>
    </row>
    <row r="46" spans="1:11" x14ac:dyDescent="0.25">
      <c r="A46" s="9" t="s">
        <v>94</v>
      </c>
      <c r="B46" s="10" t="s">
        <v>95</v>
      </c>
      <c r="C46" s="11"/>
      <c r="D46" s="11" t="s">
        <v>119</v>
      </c>
      <c r="E46" s="11"/>
      <c r="F46" s="11"/>
      <c r="G46" s="11"/>
      <c r="H46" s="12">
        <f t="shared" si="0"/>
        <v>1</v>
      </c>
      <c r="I46" s="13">
        <f t="shared" si="1"/>
        <v>0.2</v>
      </c>
      <c r="J46" s="9" t="str">
        <f t="shared" si="2"/>
        <v>Em andamento</v>
      </c>
      <c r="K46" s="14"/>
    </row>
    <row r="47" spans="1:11" x14ac:dyDescent="0.25">
      <c r="A47" s="15" t="s">
        <v>96</v>
      </c>
      <c r="B47" s="16" t="s">
        <v>97</v>
      </c>
      <c r="C47" s="11"/>
      <c r="D47" s="11" t="s">
        <v>119</v>
      </c>
      <c r="E47" s="11"/>
      <c r="F47" s="11"/>
      <c r="G47" s="11"/>
      <c r="H47" s="17">
        <f t="shared" si="0"/>
        <v>1</v>
      </c>
      <c r="I47" s="18">
        <f t="shared" si="1"/>
        <v>0.2</v>
      </c>
      <c r="J47" s="15" t="str">
        <f t="shared" si="2"/>
        <v>Em andamento</v>
      </c>
      <c r="K47" s="19"/>
    </row>
    <row r="48" spans="1:11" x14ac:dyDescent="0.25">
      <c r="A48" s="9" t="s">
        <v>98</v>
      </c>
      <c r="B48" s="10" t="s">
        <v>99</v>
      </c>
      <c r="C48" s="11"/>
      <c r="D48" s="11" t="s">
        <v>121</v>
      </c>
      <c r="E48" s="11"/>
      <c r="F48" s="11"/>
      <c r="G48" s="11"/>
      <c r="H48" s="12">
        <f t="shared" si="0"/>
        <v>0</v>
      </c>
      <c r="I48" s="13">
        <f t="shared" si="1"/>
        <v>0</v>
      </c>
      <c r="J48" s="9" t="str">
        <f t="shared" si="2"/>
        <v>Nada entregue</v>
      </c>
      <c r="K48" s="14"/>
    </row>
    <row r="49" spans="1:11" x14ac:dyDescent="0.25">
      <c r="A49" s="15" t="s">
        <v>100</v>
      </c>
      <c r="B49" s="16" t="s">
        <v>101</v>
      </c>
      <c r="C49" s="11"/>
      <c r="D49" s="11" t="s">
        <v>119</v>
      </c>
      <c r="E49" s="11"/>
      <c r="F49" s="11"/>
      <c r="G49" s="11"/>
      <c r="H49" s="17">
        <f t="shared" si="0"/>
        <v>1</v>
      </c>
      <c r="I49" s="18">
        <f t="shared" si="1"/>
        <v>0.2</v>
      </c>
      <c r="J49" s="15" t="str">
        <f t="shared" si="2"/>
        <v>Em andamento</v>
      </c>
      <c r="K49" s="19"/>
    </row>
    <row r="50" spans="1:11" x14ac:dyDescent="0.25">
      <c r="A50" s="9" t="s">
        <v>102</v>
      </c>
      <c r="B50" s="10" t="s">
        <v>103</v>
      </c>
      <c r="C50" s="11"/>
      <c r="D50" s="11" t="s">
        <v>119</v>
      </c>
      <c r="E50" s="11"/>
      <c r="F50" s="11"/>
      <c r="G50" s="11"/>
      <c r="H50" s="12">
        <f t="shared" si="0"/>
        <v>1</v>
      </c>
      <c r="I50" s="13">
        <f t="shared" si="1"/>
        <v>0.2</v>
      </c>
      <c r="J50" s="9" t="str">
        <f t="shared" si="2"/>
        <v>Em andamento</v>
      </c>
      <c r="K50" s="14"/>
    </row>
    <row r="51" spans="1:11" x14ac:dyDescent="0.25">
      <c r="A51" s="15" t="s">
        <v>104</v>
      </c>
      <c r="B51" s="16" t="s">
        <v>105</v>
      </c>
      <c r="C51" s="11"/>
      <c r="D51" s="11" t="s">
        <v>119</v>
      </c>
      <c r="E51" s="11"/>
      <c r="F51" s="11"/>
      <c r="G51" s="11"/>
      <c r="H51" s="17">
        <f t="shared" si="0"/>
        <v>1</v>
      </c>
      <c r="I51" s="18">
        <f t="shared" si="1"/>
        <v>0.2</v>
      </c>
      <c r="J51" s="15" t="str">
        <f t="shared" si="2"/>
        <v>Em andamento</v>
      </c>
      <c r="K51" s="19"/>
    </row>
    <row r="52" spans="1:11" x14ac:dyDescent="0.25">
      <c r="B52" s="20" t="s">
        <v>106</v>
      </c>
    </row>
    <row r="53" spans="1:11" x14ac:dyDescent="0.25">
      <c r="B53" s="21" t="s">
        <v>107</v>
      </c>
      <c r="C53" s="22">
        <f>COUNTA(B6:B51)</f>
        <v>46</v>
      </c>
    </row>
    <row r="54" spans="1:11" x14ac:dyDescent="0.25">
      <c r="B54" s="21" t="s">
        <v>108</v>
      </c>
      <c r="C54" s="22">
        <f>COUNTIF(J6:J51,"Completo")</f>
        <v>0</v>
      </c>
    </row>
    <row r="55" spans="1:11" x14ac:dyDescent="0.25">
      <c r="B55" s="21" t="s">
        <v>109</v>
      </c>
      <c r="C55" s="22">
        <f>COUNTIF(J6:J51,"Em andamento")</f>
        <v>37</v>
      </c>
    </row>
    <row r="56" spans="1:11" x14ac:dyDescent="0.25">
      <c r="B56" s="21" t="s">
        <v>110</v>
      </c>
      <c r="C56" s="22">
        <f>COUNTIF(J6:J51,"Nada entregue")</f>
        <v>6</v>
      </c>
    </row>
    <row r="57" spans="1:11" x14ac:dyDescent="0.25">
      <c r="B57" s="21" t="s">
        <v>111</v>
      </c>
      <c r="C57" s="22">
        <f>COUNTIF(J6:J51,"Sem lançamento")</f>
        <v>3</v>
      </c>
    </row>
    <row r="58" spans="1:11" x14ac:dyDescent="0.25">
      <c r="B58" s="21" t="s">
        <v>112</v>
      </c>
      <c r="C58" s="23">
        <f>ROUND(AVERAGE(H6:H51),2)</f>
        <v>0.8</v>
      </c>
    </row>
    <row r="59" spans="1:11" x14ac:dyDescent="0.25">
      <c r="B59" s="21" t="s">
        <v>113</v>
      </c>
      <c r="C59" s="24">
        <f>ROUND(AVERAGE(I6:I51),3)</f>
        <v>0.161</v>
      </c>
    </row>
    <row r="61" spans="1:11" x14ac:dyDescent="0.25">
      <c r="B61" s="7" t="s">
        <v>114</v>
      </c>
    </row>
  </sheetData>
  <autoFilter ref="A5:K51" xr:uid="{00000000-0009-0000-0000-000000000000}"/>
  <mergeCells count="3">
    <mergeCell ref="A1:K1"/>
    <mergeCell ref="A2:K2"/>
    <mergeCell ref="A3:K3"/>
  </mergeCells>
  <conditionalFormatting sqref="C6:G51">
    <cfRule type="cellIs" dxfId="7" priority="2" operator="equal">
      <formula>"Entregue"</formula>
    </cfRule>
    <cfRule type="cellIs" dxfId="6" priority="3" operator="equal">
      <formula>"Parcial"</formula>
    </cfRule>
    <cfRule type="cellIs" dxfId="5" priority="4" operator="equal">
      <formula>"Pendente"</formula>
    </cfRule>
  </conditionalFormatting>
  <conditionalFormatting sqref="I6:I51">
    <cfRule type="expression" dxfId="4" priority="19">
      <formula>AND(COUNTA($C6:$G6)&gt;0,$I6&lt;0.6)</formula>
    </cfRule>
  </conditionalFormatting>
  <conditionalFormatting sqref="J6:J51">
    <cfRule type="cellIs" dxfId="3" priority="17" operator="equal">
      <formula>"Completo"</formula>
    </cfRule>
    <cfRule type="cellIs" dxfId="2" priority="18" operator="equal">
      <formula>"Nada entregue"</formula>
    </cfRule>
  </conditionalFormatting>
  <dataValidations count="1">
    <dataValidation type="list" allowBlank="1" errorTitle="Valor inválido" error="Escolha: Entregue, Parcial ou Pendente." sqref="C6:G51" xr:uid="{00000000-0002-0000-0000-000000000000}">
      <formula1>"Entregue,Parcial,Pendente"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34" customWidth="1"/>
    <col min="3" max="3" width="11" customWidth="1"/>
    <col min="4" max="4" width="10" customWidth="1"/>
    <col min="5" max="5" width="11" customWidth="1"/>
    <col min="6" max="6" width="12" customWidth="1"/>
  </cols>
  <sheetData>
    <row r="1" spans="1:6" ht="21.75" customHeight="1" x14ac:dyDescent="0.25">
      <c r="A1" s="3" t="s">
        <v>115</v>
      </c>
      <c r="B1" s="3"/>
      <c r="C1" s="3"/>
      <c r="D1" s="3"/>
      <c r="E1" s="3"/>
      <c r="F1" s="3"/>
    </row>
    <row r="2" spans="1:6" x14ac:dyDescent="0.25">
      <c r="A2" s="2" t="s">
        <v>116</v>
      </c>
      <c r="B2" s="2"/>
      <c r="C2" s="2"/>
      <c r="D2" s="2"/>
      <c r="E2" s="2"/>
      <c r="F2" s="2"/>
    </row>
    <row r="4" spans="1:6" x14ac:dyDescent="0.25">
      <c r="A4" s="25" t="s">
        <v>117</v>
      </c>
      <c r="B4" s="25" t="s">
        <v>118</v>
      </c>
      <c r="C4" s="25" t="s">
        <v>119</v>
      </c>
      <c r="D4" s="25" t="s">
        <v>120</v>
      </c>
      <c r="E4" s="25" t="s">
        <v>121</v>
      </c>
      <c r="F4" s="25" t="s">
        <v>122</v>
      </c>
    </row>
    <row r="5" spans="1:6" x14ac:dyDescent="0.25">
      <c r="A5" s="26" t="s">
        <v>123</v>
      </c>
      <c r="B5" s="10" t="s">
        <v>124</v>
      </c>
      <c r="C5" s="27">
        <f>COUNTIF(Controle!C6:C51,"Entregue")</f>
        <v>0</v>
      </c>
      <c r="D5" s="27">
        <f>COUNTIF(Controle!C6:C51,"Parcial")</f>
        <v>0</v>
      </c>
      <c r="E5" s="27">
        <f>COUNTIF(Controle!C6:C51,"Pendente")</f>
        <v>0</v>
      </c>
      <c r="F5" s="28">
        <f>C5/COUNTA(Controle!B6:B51)</f>
        <v>0</v>
      </c>
    </row>
    <row r="6" spans="1:6" x14ac:dyDescent="0.25">
      <c r="A6" s="29" t="s">
        <v>125</v>
      </c>
      <c r="B6" s="16" t="s">
        <v>126</v>
      </c>
      <c r="C6" s="30">
        <f>COUNTIF(Controle!D6:D51,"Entregue")</f>
        <v>36</v>
      </c>
      <c r="D6" s="30">
        <f>COUNTIF(Controle!D6:D51,"Parcial")</f>
        <v>1</v>
      </c>
      <c r="E6" s="30">
        <f>COUNTIF(Controle!D6:D51,"Pendente")</f>
        <v>6</v>
      </c>
      <c r="F6" s="31">
        <f>C6/COUNTA(Controle!B6:B51)</f>
        <v>0.78260869565217395</v>
      </c>
    </row>
    <row r="7" spans="1:6" x14ac:dyDescent="0.25">
      <c r="A7" s="26" t="s">
        <v>127</v>
      </c>
      <c r="B7" s="10" t="s">
        <v>128</v>
      </c>
      <c r="C7" s="27">
        <f>COUNTIF(Controle!E6:E51,"Entregue")</f>
        <v>0</v>
      </c>
      <c r="D7" s="27">
        <f>COUNTIF(Controle!E6:E51,"Parcial")</f>
        <v>1</v>
      </c>
      <c r="E7" s="27">
        <f>COUNTIF(Controle!E6:E51,"Pendente")</f>
        <v>0</v>
      </c>
      <c r="F7" s="28">
        <f>C7/COUNTA(Controle!B6:B51)</f>
        <v>0</v>
      </c>
    </row>
    <row r="8" spans="1:6" x14ac:dyDescent="0.25">
      <c r="A8" s="29" t="s">
        <v>129</v>
      </c>
      <c r="B8" s="16" t="s">
        <v>130</v>
      </c>
      <c r="C8" s="30">
        <f>COUNTIF(Controle!F6:F51,"Entregue")</f>
        <v>0</v>
      </c>
      <c r="D8" s="30">
        <f>COUNTIF(Controle!F6:F51,"Parcial")</f>
        <v>0</v>
      </c>
      <c r="E8" s="30">
        <f>COUNTIF(Controle!F6:F51,"Pendente")</f>
        <v>0</v>
      </c>
      <c r="F8" s="31">
        <f>C8/COUNTA(Controle!B6:B51)</f>
        <v>0</v>
      </c>
    </row>
    <row r="9" spans="1:6" x14ac:dyDescent="0.25">
      <c r="A9" s="26" t="s">
        <v>131</v>
      </c>
      <c r="B9" s="10" t="s">
        <v>132</v>
      </c>
      <c r="C9" s="27">
        <f>COUNTIF(Controle!G6:G51,"Entregue")</f>
        <v>0</v>
      </c>
      <c r="D9" s="27">
        <f>COUNTIF(Controle!G6:G51,"Parcial")</f>
        <v>0</v>
      </c>
      <c r="E9" s="27">
        <f>COUNTIF(Controle!G6:G51,"Pendente")</f>
        <v>0</v>
      </c>
      <c r="F9" s="28">
        <f>C9/COUNTA(Controle!B6:B51)</f>
        <v>0</v>
      </c>
    </row>
    <row r="11" spans="1:6" x14ac:dyDescent="0.25">
      <c r="A11" s="32" t="s">
        <v>133</v>
      </c>
    </row>
    <row r="12" spans="1:6" ht="15" customHeight="1" x14ac:dyDescent="0.25">
      <c r="A12" s="1" t="s">
        <v>134</v>
      </c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</sheetData>
  <mergeCells count="3">
    <mergeCell ref="A1:F1"/>
    <mergeCell ref="A2:F2"/>
    <mergeCell ref="A12:F13"/>
  </mergeCells>
  <conditionalFormatting sqref="F5:F9">
    <cfRule type="cellIs" dxfId="1" priority="2" operator="lessThan">
      <formula>0.5</formula>
    </cfRule>
    <cfRule type="cellIs" dxfId="0" priority="3" operator="greaterThanOrEqual">
      <formula>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ERICSON COSTA</cp:lastModifiedBy>
  <cp:revision>0</cp:revision>
  <dcterms:created xsi:type="dcterms:W3CDTF">2026-10-15T16:34:26Z</dcterms:created>
  <dcterms:modified xsi:type="dcterms:W3CDTF">2026-10-22T18:01:00Z</dcterms:modified>
  <dc:language>en-US</dc:language>
</cp:coreProperties>
</file>