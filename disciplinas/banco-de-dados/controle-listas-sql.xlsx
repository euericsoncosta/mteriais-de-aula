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dev\mteriais-de-aula\disciplinas\banco-de-dados\"/>
    </mc:Choice>
  </mc:AlternateContent>
  <xr:revisionPtr revIDLastSave="0" documentId="13_ncr:1_{80D64D90-B149-4596-A1E6-63D343D8B82D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Controle" sheetId="1" r:id="rId1"/>
    <sheet name="Painel" sheetId="2" r:id="rId2"/>
  </sheets>
  <definedNames>
    <definedName name="_xlnm._FilterDatabase" localSheetId="0" hidden="1">Controle!$A$5:$K$51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9" i="2" l="1"/>
  <c r="D9" i="2"/>
  <c r="C9" i="2"/>
  <c r="F9" i="2" s="1"/>
  <c r="E8" i="2"/>
  <c r="D8" i="2"/>
  <c r="C8" i="2"/>
  <c r="F8" i="2" s="1"/>
  <c r="E7" i="2"/>
  <c r="D7" i="2"/>
  <c r="C7" i="2"/>
  <c r="F7" i="2" s="1"/>
  <c r="E6" i="2"/>
  <c r="D6" i="2"/>
  <c r="C6" i="2"/>
  <c r="F6" i="2" s="1"/>
  <c r="C53" i="1"/>
  <c r="H51" i="1"/>
  <c r="H50" i="1"/>
  <c r="H49" i="1"/>
  <c r="H48" i="1"/>
  <c r="H47" i="1"/>
  <c r="H46" i="1"/>
  <c r="H45" i="1"/>
  <c r="H44" i="1"/>
  <c r="H43" i="1"/>
  <c r="H42" i="1"/>
  <c r="J41" i="1"/>
  <c r="H41" i="1"/>
  <c r="I41" i="1" s="1"/>
  <c r="H40" i="1"/>
  <c r="H39" i="1"/>
  <c r="H38" i="1"/>
  <c r="H37" i="1"/>
  <c r="H36" i="1"/>
  <c r="H35" i="1"/>
  <c r="H34" i="1"/>
  <c r="H33" i="1"/>
  <c r="H32" i="1"/>
  <c r="H31" i="1"/>
  <c r="H30" i="1"/>
  <c r="J29" i="1"/>
  <c r="H29" i="1"/>
  <c r="I29" i="1" s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J10" i="1"/>
  <c r="H10" i="1"/>
  <c r="I10" i="1" s="1"/>
  <c r="H9" i="1"/>
  <c r="H8" i="1"/>
  <c r="J8" i="1" s="1"/>
  <c r="H7" i="1"/>
  <c r="H6" i="1"/>
  <c r="I48" i="1" l="1"/>
  <c r="J48" i="1"/>
  <c r="I40" i="1"/>
  <c r="J40" i="1"/>
  <c r="I35" i="1"/>
  <c r="J35" i="1"/>
  <c r="I31" i="1"/>
  <c r="J31" i="1"/>
  <c r="I27" i="1"/>
  <c r="J27" i="1"/>
  <c r="I19" i="1"/>
  <c r="J19" i="1"/>
  <c r="I16" i="1"/>
  <c r="J16" i="1"/>
  <c r="I28" i="1"/>
  <c r="J28" i="1"/>
  <c r="I12" i="1"/>
  <c r="J12" i="1"/>
  <c r="I6" i="1"/>
  <c r="J6" i="1"/>
  <c r="I18" i="1"/>
  <c r="J18" i="1"/>
  <c r="I33" i="1"/>
  <c r="J33" i="1"/>
  <c r="I17" i="1"/>
  <c r="J17" i="1"/>
  <c r="I38" i="1"/>
  <c r="J38" i="1"/>
  <c r="I24" i="1"/>
  <c r="J24" i="1"/>
  <c r="I47" i="1"/>
  <c r="J47" i="1"/>
  <c r="I23" i="1"/>
  <c r="J23" i="1"/>
  <c r="I44" i="1"/>
  <c r="J44" i="1"/>
  <c r="I34" i="1"/>
  <c r="J34" i="1"/>
  <c r="I9" i="1"/>
  <c r="J9" i="1"/>
  <c r="I49" i="1"/>
  <c r="J49" i="1"/>
  <c r="I50" i="1"/>
  <c r="J50" i="1"/>
  <c r="I51" i="1"/>
  <c r="J51" i="1"/>
  <c r="I37" i="1"/>
  <c r="J37" i="1"/>
  <c r="I13" i="1"/>
  <c r="J13" i="1"/>
  <c r="I26" i="1"/>
  <c r="J26" i="1"/>
  <c r="I46" i="1"/>
  <c r="J46" i="1"/>
  <c r="I21" i="1"/>
  <c r="J21" i="1"/>
  <c r="I25" i="1"/>
  <c r="J25" i="1"/>
  <c r="I43" i="1"/>
  <c r="J43" i="1"/>
  <c r="I39" i="1"/>
  <c r="J39" i="1"/>
  <c r="I20" i="1"/>
  <c r="J20" i="1"/>
  <c r="I14" i="1"/>
  <c r="J14" i="1"/>
  <c r="I36" i="1"/>
  <c r="J36" i="1"/>
  <c r="I15" i="1"/>
  <c r="J15" i="1"/>
  <c r="I45" i="1"/>
  <c r="J45" i="1"/>
  <c r="I7" i="1"/>
  <c r="J7" i="1"/>
  <c r="I42" i="1"/>
  <c r="J42" i="1"/>
  <c r="I32" i="1"/>
  <c r="J32" i="1"/>
  <c r="I30" i="1"/>
  <c r="J30" i="1"/>
  <c r="I22" i="1"/>
  <c r="J22" i="1"/>
  <c r="I11" i="1"/>
  <c r="J11" i="1"/>
  <c r="I8" i="1"/>
  <c r="C58" i="1"/>
  <c r="C57" i="1" l="1"/>
  <c r="C59" i="1"/>
  <c r="C55" i="1"/>
  <c r="C54" i="1"/>
  <c r="C56" i="1"/>
  <c r="D5" i="2" l="1"/>
  <c r="C5" i="2"/>
  <c r="F5" i="2" s="1"/>
  <c r="E5" i="2"/>
</calcChain>
</file>

<file path=xl/sharedStrings.xml><?xml version="1.0" encoding="utf-8"?>
<sst xmlns="http://schemas.openxmlformats.org/spreadsheetml/2006/main" count="223" uniqueCount="136">
  <si>
    <t>BANCO DE DADOS — CONTROLE DE ENTREGA DAS LISTAS DE SQL</t>
  </si>
  <si>
    <t>Projeto Biblioteca Escolar · arquivo biblioteca_nome.sql · listas 1 a 5</t>
  </si>
  <si>
    <t>Preencha apenas as colunas das listas (fundo amarelo), escolhendo na lista suspensa: Entregue, Parcial ou Pendente. Entregue vale 1 ponto e Parcial vale 0,5. O restante é calculado.</t>
  </si>
  <si>
    <t>Cód.</t>
  </si>
  <si>
    <t>Aluno(a)</t>
  </si>
  <si>
    <t>Lista 1
CREATE</t>
  </si>
  <si>
    <t>Lista 2
INSERT</t>
  </si>
  <si>
    <t>Lista 3
SELECT</t>
  </si>
  <si>
    <t>Lista 4
UPDATE/agreg.</t>
  </si>
  <si>
    <t>Lista 5
JOIN</t>
  </si>
  <si>
    <t>Entregues
(0 a 5)</t>
  </si>
  <si>
    <t>% concluído</t>
  </si>
  <si>
    <t>Situação</t>
  </si>
  <si>
    <t>Observação</t>
  </si>
  <si>
    <t>V01</t>
  </si>
  <si>
    <t>ANTONIO MEDEIROS DA COSTA FILHO</t>
  </si>
  <si>
    <t>V02</t>
  </si>
  <si>
    <t>BIANCA DE LIMA SABOIA</t>
  </si>
  <si>
    <t>V03</t>
  </si>
  <si>
    <t>BRENO LIMA DA SILVA</t>
  </si>
  <si>
    <t>V04</t>
  </si>
  <si>
    <t>CECILLYA LIMA CAVALCANTE</t>
  </si>
  <si>
    <t>V05</t>
  </si>
  <si>
    <t>DAVI FALCAO DA SILVA</t>
  </si>
  <si>
    <t>V06</t>
  </si>
  <si>
    <t>DION VITOR MOREIRA DE LIMA</t>
  </si>
  <si>
    <t>V07</t>
  </si>
  <si>
    <t>EMANUEL CANDIDO RABELO OLIVEIRA</t>
  </si>
  <si>
    <t>V08</t>
  </si>
  <si>
    <t>EMILLY DOS SANTOS DA SILVA</t>
  </si>
  <si>
    <t>V09</t>
  </si>
  <si>
    <t>EMILLY RAIKA PEREIRA DE SOUSA</t>
  </si>
  <si>
    <t>V10</t>
  </si>
  <si>
    <t>ERIKA BENTO DO NASCIMENTO</t>
  </si>
  <si>
    <t>V11</t>
  </si>
  <si>
    <t>FELIPE GABRIEL BRITO LOPES</t>
  </si>
  <si>
    <t>V12</t>
  </si>
  <si>
    <t>FRANCISCO GUSTAVO LIMA VIEIRA</t>
  </si>
  <si>
    <t>V13</t>
  </si>
  <si>
    <t>FRANCISCO ISMAEL DE SOUSA</t>
  </si>
  <si>
    <t>V14</t>
  </si>
  <si>
    <t>GABRIEL GIRAO DE VASCONCELOS</t>
  </si>
  <si>
    <t>V15</t>
  </si>
  <si>
    <t>GABRIEL LEVY DA SIVA MIRANDA</t>
  </si>
  <si>
    <t>V16</t>
  </si>
  <si>
    <t>HEMILLY LIMA SILVEIRA</t>
  </si>
  <si>
    <t>V17</t>
  </si>
  <si>
    <t>IARLEY BARBOSA DA SILVA</t>
  </si>
  <si>
    <t>V18</t>
  </si>
  <si>
    <t>ICARO BRUNO NASCIMENTO SILVA</t>
  </si>
  <si>
    <t>V19</t>
  </si>
  <si>
    <t>ISABEL JUCA TREVISAN</t>
  </si>
  <si>
    <t>V20</t>
  </si>
  <si>
    <t>JOAO GABRIEL SOUSA DOS SANTOS</t>
  </si>
  <si>
    <t>V21</t>
  </si>
  <si>
    <t>JOAO VICTOR OLIVEIRA DA SILVA</t>
  </si>
  <si>
    <t>V22</t>
  </si>
  <si>
    <t>JOAO VITOR DA SILVA SANTOS</t>
  </si>
  <si>
    <t>V23</t>
  </si>
  <si>
    <t>JOSE MARIO ALMEIDA MACHADO</t>
  </si>
  <si>
    <t>V24</t>
  </si>
  <si>
    <t>JOSE MATEUS DAVID MOTA</t>
  </si>
  <si>
    <t>V25</t>
  </si>
  <si>
    <t>KARLOS ROBERTO GOMES DA SILVA PATRICIO</t>
  </si>
  <si>
    <t>V26</t>
  </si>
  <si>
    <t>KEYRISSON GABRIEL NOGUEIRA SANTIAGO</t>
  </si>
  <si>
    <t>V27</t>
  </si>
  <si>
    <t>LETICIA PEREIRA DA SILVA</t>
  </si>
  <si>
    <t>V28</t>
  </si>
  <si>
    <t>LEVI GOMES DA SILVA</t>
  </si>
  <si>
    <t>V29</t>
  </si>
  <si>
    <t>MARCIO GUILHERME ARAUJO GOMES</t>
  </si>
  <si>
    <t>V30</t>
  </si>
  <si>
    <t>MARCUS VINICIUS JUCA ALMEIDA</t>
  </si>
  <si>
    <t>V31</t>
  </si>
  <si>
    <t>MARIA ELIZA RIBEIRO DA SILVA</t>
  </si>
  <si>
    <t>V32</t>
  </si>
  <si>
    <t>MARIA LETICIA PEREIRA DA SILVA</t>
  </si>
  <si>
    <t>V33</t>
  </si>
  <si>
    <t>MATHEUS DA SILVA OLIVEIRA</t>
  </si>
  <si>
    <t>V34</t>
  </si>
  <si>
    <t>MATHEUS HAMILTON DA SILVA DE CASTRO</t>
  </si>
  <si>
    <t>V35</t>
  </si>
  <si>
    <t>MIGUEL ANGELO OLIVEIRA SILVA</t>
  </si>
  <si>
    <t>V36</t>
  </si>
  <si>
    <t>PAULO THIAGO MENEZES GOMES</t>
  </si>
  <si>
    <t>V37</t>
  </si>
  <si>
    <t>PEDRO YARLEI PEREIRA COSTA</t>
  </si>
  <si>
    <t>V38</t>
  </si>
  <si>
    <t>QUESIA DANTAS DOS REIS</t>
  </si>
  <si>
    <t>V39</t>
  </si>
  <si>
    <t>RAMIRO RODRIGUES RIBEIRO</t>
  </si>
  <si>
    <t>V40</t>
  </si>
  <si>
    <t>RUAN DEVID QUEIROZ DA SILVA</t>
  </si>
  <si>
    <t>V41</t>
  </si>
  <si>
    <t>RUAN QUEIROZ DA SILVA</t>
  </si>
  <si>
    <t>V42</t>
  </si>
  <si>
    <t>TALYSON GUILHERME BENICIO DA SILVA</t>
  </si>
  <si>
    <t>V43</t>
  </si>
  <si>
    <t>VINICIUS DAVI NEPOMUCENO DA SILVA</t>
  </si>
  <si>
    <t>V44</t>
  </si>
  <si>
    <t>WILLIANE DO NASCIMENTO SILVA</t>
  </si>
  <si>
    <t>V45</t>
  </si>
  <si>
    <t>YEGO ESTEVAO DA SILVA</t>
  </si>
  <si>
    <t>V46</t>
  </si>
  <si>
    <t>CAIO FERREIRA LEITE</t>
  </si>
  <si>
    <t>RESUMO DA TURMA</t>
  </si>
  <si>
    <t>Alunos na turma</t>
  </si>
  <si>
    <t>Concluíram as 5 listas</t>
  </si>
  <si>
    <t>Em andamento</t>
  </si>
  <si>
    <t>Nada entregue</t>
  </si>
  <si>
    <t>Sem lançamento ainda</t>
  </si>
  <si>
    <t>Média de listas entregues</t>
  </si>
  <si>
    <t>Conclusão média da turma</t>
  </si>
  <si>
    <t>As listas são encadeadas: constroem o mesmo banco, da Lista 1 à Lista 5. Um aluno que não entregou a Lista 1 ou a 2 não consegue fazer as seguintes — priorize esses casos.</t>
  </si>
  <si>
    <t>PAINEL POR LISTA — ONDE A TURMA ESTÁ</t>
  </si>
  <si>
    <t>Atualiza sozinho conforme você preenche a aba Controle</t>
  </si>
  <si>
    <t>Lista</t>
  </si>
  <si>
    <t>Conteúdo</t>
  </si>
  <si>
    <t>Entregue</t>
  </si>
  <si>
    <t>Parcial</t>
  </si>
  <si>
    <t>Pendente</t>
  </si>
  <si>
    <t>% entregue</t>
  </si>
  <si>
    <t>Lista 1</t>
  </si>
  <si>
    <t>Criar banco e tabelas (DDL)</t>
  </si>
  <si>
    <t>Lista 2</t>
  </si>
  <si>
    <t>Popular com os dados (INSERT)</t>
  </si>
  <si>
    <t>Lista 3</t>
  </si>
  <si>
    <t>Consultas com SELECT</t>
  </si>
  <si>
    <t>Lista 4</t>
  </si>
  <si>
    <t>UPDATE, DELETE e agregação</t>
  </si>
  <si>
    <t>Lista 5</t>
  </si>
  <si>
    <t>JOIN entre tabelas</t>
  </si>
  <si>
    <t>Como ler este painel</t>
  </si>
  <si>
    <t>A coluna % entregue mostra a proporção da turma que concluiu cada lista. Como as listas são encadeadas, a primeira linha com percentual baixo indica onde a turma travou: é nela que vale retomar o conteúdo antes de seguir.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</si>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</sst>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7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sz val="10"/>
      <color rgb="FFFFFFFF"/>
      <name val="Arial"/>
      <charset val="1"/>
    </font>
    <font>
      <i/>
      <sz val="8.5"/>
      <color rgb="FF424242"/>
      <name val="Arial"/>
      <charset val="1"/>
    </font>
    <font>
      <b/>
      <sz val="9"/>
      <color rgb="FFFFFFFF"/>
      <name val="Arial"/>
      <charset val="1"/>
    </font>
    <font>
      <b/>
      <sz val="8.5"/>
      <name val="Arial"/>
      <charset val="1"/>
    </font>
    <font>
      <sz val="9"/>
      <name val="Arial"/>
      <charset val="1"/>
    </font>
    <font>
      <sz val="8.5"/>
      <color rgb="FF0000FF"/>
      <name val="Arial"/>
      <charset val="1"/>
    </font>
    <font>
      <b/>
      <sz val="9.5"/>
      <name val="Arial"/>
      <charset val="1"/>
    </font>
    <font>
      <b/>
      <sz val="9"/>
      <name val="Arial"/>
      <charset val="1"/>
    </font>
    <font>
      <i/>
      <sz val="8"/>
      <color rgb="FF8D6E00"/>
      <name val="Arial"/>
      <charset val="1"/>
    </font>
    <font>
      <b/>
      <sz val="11"/>
      <color rgb="FF1B5E20"/>
      <name val="Arial"/>
      <charset val="1"/>
    </font>
    <font>
      <b/>
      <sz val="13"/>
      <color rgb="FFFFFFFF"/>
      <name val="Arial"/>
      <charset val="1"/>
    </font>
    <font>
      <sz val="9.5"/>
      <color rgb="FFFFFFFF"/>
      <name val="Arial"/>
      <charset val="1"/>
    </font>
    <font>
      <b/>
      <sz val="9.5"/>
      <color rgb="FFFFFFFF"/>
      <name val="Arial"/>
      <charset val="1"/>
    </font>
    <font>
      <b/>
      <sz val="10.5"/>
      <color rgb="FF1B5E20"/>
      <name val="Arial"/>
      <charset val="1"/>
    </font>
    <font>
      <sz val="9"/>
      <color rgb="FF424242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1B5E20"/>
        <bgColor rgb="FF2E7D32"/>
      </patternFill>
    </fill>
    <fill>
      <patternFill patternType="solid">
        <fgColor rgb="FF2E7D32"/>
        <bgColor rgb="FF1B5E20"/>
      </patternFill>
    </fill>
    <fill>
      <patternFill patternType="solid">
        <fgColor rgb="FFFFF9C4"/>
        <bgColor rgb="FFFFF3C4"/>
      </patternFill>
    </fill>
    <fill>
      <patternFill patternType="solid">
        <fgColor rgb="FFE8F5E9"/>
        <bgColor rgb="FFF2F2F2"/>
      </patternFill>
    </fill>
    <fill>
      <patternFill patternType="solid">
        <fgColor rgb="FFF2F2F2"/>
        <bgColor rgb="FFE8F5E9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7" fillId="4" borderId="1" xfId="0" applyFon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9" fontId="9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vertical="center"/>
    </xf>
    <xf numFmtId="0" fontId="5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vertical="center"/>
    </xf>
    <xf numFmtId="164" fontId="8" fillId="5" borderId="1" xfId="0" applyNumberFormat="1" applyFont="1" applyFill="1" applyBorder="1" applyAlignment="1">
      <alignment horizontal="center" vertical="center"/>
    </xf>
    <xf numFmtId="9" fontId="9" fillId="5" borderId="1" xfId="0" applyNumberFormat="1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vertical="center"/>
    </xf>
    <xf numFmtId="0" fontId="11" fillId="0" borderId="0" xfId="0" applyFont="1"/>
    <xf numFmtId="0" fontId="8" fillId="6" borderId="1" xfId="0" applyFont="1" applyFill="1" applyBorder="1" applyAlignment="1">
      <alignment horizontal="center"/>
    </xf>
    <xf numFmtId="2" fontId="8" fillId="6" borderId="1" xfId="0" applyNumberFormat="1" applyFont="1" applyFill="1" applyBorder="1" applyAlignment="1">
      <alignment horizontal="center"/>
    </xf>
    <xf numFmtId="9" fontId="8" fillId="6" borderId="1" xfId="0" applyNumberFormat="1" applyFont="1" applyFill="1" applyBorder="1" applyAlignment="1">
      <alignment horizontal="center"/>
    </xf>
    <xf numFmtId="0" fontId="14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9" fontId="8" fillId="0" borderId="1" xfId="0" applyNumberFormat="1" applyFont="1" applyBorder="1" applyAlignment="1">
      <alignment horizontal="center" vertical="center"/>
    </xf>
    <xf numFmtId="0" fontId="8" fillId="5" borderId="1" xfId="0" applyFont="1" applyFill="1" applyBorder="1" applyAlignment="1">
      <alignment vertical="center"/>
    </xf>
    <xf numFmtId="0" fontId="8" fillId="5" borderId="1" xfId="0" applyFont="1" applyFill="1" applyBorder="1" applyAlignment="1">
      <alignment horizontal="center" vertical="center"/>
    </xf>
    <xf numFmtId="9" fontId="8" fillId="5" borderId="1" xfId="0" applyNumberFormat="1" applyFont="1" applyFill="1" applyBorder="1" applyAlignment="1">
      <alignment horizontal="center" vertical="center"/>
    </xf>
    <xf numFmtId="0" fontId="15" fillId="0" borderId="0" xfId="0" applyFont="1"/>
    <xf numFmtId="0" fontId="1" fillId="2" borderId="0" xfId="0" applyFont="1" applyFill="1" applyAlignment="1">
      <alignment vertical="center" indent="1"/>
    </xf>
    <xf numFmtId="0" fontId="2" fillId="2" borderId="0" xfId="0" applyFont="1" applyFill="1" applyAlignment="1">
      <alignment vertical="center" indent="1"/>
    </xf>
    <xf numFmtId="0" fontId="3" fillId="0" borderId="0" xfId="0" applyFont="1"/>
    <xf numFmtId="0" fontId="12" fillId="2" borderId="0" xfId="0" applyFont="1" applyFill="1" applyAlignment="1">
      <alignment vertical="center" indent="1"/>
    </xf>
    <xf numFmtId="0" fontId="13" fillId="2" borderId="0" xfId="0" applyFont="1" applyFill="1" applyAlignment="1">
      <alignment vertical="center" indent="1"/>
    </xf>
    <xf numFmtId="0" fontId="16" fillId="0" borderId="0" xfId="0" applyFont="1" applyAlignment="1">
      <alignment vertical="top" wrapText="1"/>
    </xf>
    <xf numFmtId="0" fontId="0" fillId="0" borderId="0" xfId="0" applyBorder="1"/>
    <xf numFmtId="0" fontId="6" fillId="0" borderId="0" xfId="0" applyFont="1" applyBorder="1"/>
  </cellXfs>
  <cellStyles count="1">
    <cellStyle name="Normal" xfId="0" builtinId="0"/>
  </cellStyles>
  <dxfs count="8">
    <dxf>
      <font>
        <b/>
        <sz val="9"/>
        <color rgb="FF1B5E20"/>
        <name val="Arial"/>
        <charset val="1"/>
      </font>
    </dxf>
    <dxf>
      <font>
        <b/>
        <sz val="9"/>
        <color rgb="FFB71C1C"/>
        <name val="Arial"/>
        <charset val="1"/>
      </font>
      <fill>
        <patternFill>
          <bgColor rgb="FFFFCDD2"/>
        </patternFill>
      </fill>
    </dxf>
    <dxf>
      <font>
        <b/>
        <sz val="8"/>
        <color rgb="FFB71C1C"/>
        <name val="Arial"/>
        <charset val="1"/>
      </font>
      <fill>
        <patternFill>
          <bgColor rgb="FFFFCDD2"/>
        </patternFill>
      </fill>
    </dxf>
    <dxf>
      <font>
        <b/>
        <sz val="8"/>
        <color rgb="FF1B5E20"/>
        <name val="Arial"/>
        <charset val="1"/>
      </font>
      <fill>
        <patternFill>
          <bgColor rgb="FFC8E6C9"/>
        </patternFill>
      </fill>
    </dxf>
    <dxf>
      <fill>
        <patternFill>
          <bgColor rgb="FFFFE0E0"/>
        </patternFill>
      </fill>
    </dxf>
    <dxf>
      <font>
        <b/>
        <sz val="8"/>
        <color rgb="FFB71C1C"/>
        <name val="Arial"/>
        <charset val="1"/>
      </font>
      <fill>
        <patternFill>
          <bgColor rgb="FFFFCDD2"/>
        </patternFill>
      </fill>
    </dxf>
    <dxf>
      <font>
        <b/>
        <sz val="8"/>
        <color rgb="FF8D6E00"/>
        <name val="Arial"/>
        <charset val="1"/>
      </font>
      <fill>
        <patternFill>
          <bgColor rgb="FFFFF3C4"/>
        </patternFill>
      </fill>
    </dxf>
    <dxf>
      <font>
        <b/>
        <sz val="8"/>
        <color rgb="FF1B5E20"/>
        <name val="Arial"/>
        <charset val="1"/>
      </font>
      <fill>
        <patternFill>
          <bgColor rgb="FFC8E6C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D6E00"/>
      <rgbColor rgb="FF800080"/>
      <rgbColor rgb="FF008080"/>
      <rgbColor rgb="FFBDBDBD"/>
      <rgbColor rgb="FF808080"/>
      <rgbColor rgb="FF9999FF"/>
      <rgbColor rgb="FF993366"/>
      <rgbColor rgb="FFFFF9C4"/>
      <rgbColor rgb="FFE8F5E9"/>
      <rgbColor rgb="FF660066"/>
      <rgbColor rgb="FFFF8080"/>
      <rgbColor rgb="FF0066CC"/>
      <rgbColor rgb="FFFF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8E6C9"/>
      <rgbColor rgb="FFFFF3C4"/>
      <rgbColor rgb="FF99CCFF"/>
      <rgbColor rgb="FFFF99CC"/>
      <rgbColor rgb="FFCC99FF"/>
      <rgbColor rgb="FFFFCDD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2E7D32"/>
      <rgbColor rgb="FF003300"/>
      <rgbColor rgb="FF333300"/>
      <rgbColor rgb="FFB71C1C"/>
      <rgbColor rgb="FF993366"/>
      <rgbColor rgb="FF333399"/>
      <rgbColor rgb="FF42424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68A163F-B0DE-45D1-A443-6D9C9F0EB899}">
  <we:reference id="wa200009404" version="1.0.0.8" store="pt-BR" storeType="OMEX"/>
  <we:alternateReferences>
    <we:reference id="WA200009404" version="1.0.0.8" store="" storeType="OMEX"/>
  </we:alternateReferences>
  <we:properties>
    <we:property name="claude.fileId" value="&quot;78f5c803-55db-4faa-8452-5dbdb4289ac8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1"/>
  <sheetViews>
    <sheetView tabSelected="1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D24" sqref="D24"/>
    </sheetView>
  </sheetViews>
  <sheetFormatPr defaultColWidth="8.7109375" defaultRowHeight="15" x14ac:dyDescent="0.25"/>
  <cols>
    <col min="1" max="1" width="6" customWidth="1"/>
    <col min="2" max="2" width="38" customWidth="1"/>
    <col min="3" max="5" width="11" customWidth="1"/>
    <col min="6" max="6" width="13" customWidth="1"/>
    <col min="7" max="9" width="11" customWidth="1"/>
    <col min="10" max="10" width="14" customWidth="1"/>
    <col min="11" max="11" width="34" customWidth="1"/>
  </cols>
  <sheetData>
    <row r="1" spans="1:11" ht="24" customHeight="1" x14ac:dyDescent="0.2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spans="1:11" x14ac:dyDescent="0.25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</row>
    <row r="3" spans="1:11" x14ac:dyDescent="0.25">
      <c r="A3" s="28" t="s">
        <v>2</v>
      </c>
      <c r="B3" s="28"/>
      <c r="C3" s="28"/>
      <c r="D3" s="28"/>
      <c r="E3" s="28"/>
      <c r="F3" s="28"/>
      <c r="G3" s="28"/>
      <c r="H3" s="28"/>
      <c r="I3" s="28"/>
      <c r="J3" s="28"/>
      <c r="K3" s="28"/>
    </row>
    <row r="5" spans="1:11" ht="33.75" customHeight="1" x14ac:dyDescent="0.25">
      <c r="A5" s="2" t="s">
        <v>3</v>
      </c>
      <c r="B5" s="2" t="s">
        <v>4</v>
      </c>
      <c r="C5" s="2" t="s">
        <v>5</v>
      </c>
      <c r="D5" s="2" t="s">
        <v>6</v>
      </c>
      <c r="E5" s="2" t="s">
        <v>7</v>
      </c>
      <c r="F5" s="2" t="s">
        <v>8</v>
      </c>
      <c r="G5" s="2" t="s">
        <v>9</v>
      </c>
      <c r="H5" s="2" t="s">
        <v>10</v>
      </c>
      <c r="I5" s="2" t="s">
        <v>11</v>
      </c>
      <c r="J5" s="2" t="s">
        <v>12</v>
      </c>
      <c r="K5" s="2" t="s">
        <v>13</v>
      </c>
    </row>
    <row r="6" spans="1:11" x14ac:dyDescent="0.25">
      <c r="A6" s="3" t="s">
        <v>14</v>
      </c>
      <c r="B6" s="4" t="s">
        <v>15</v>
      </c>
      <c r="C6" s="5" t="s">
        <v>119</v>
      </c>
      <c r="D6" s="5" t="s">
        <v>119</v>
      </c>
      <c r="E6" s="5" t="s">
        <v>135</v>
      </c>
      <c r="F6" s="5"/>
      <c r="G6" s="5"/>
      <c r="H6" s="6">
        <f>COUNTIF(C6:G6,"Entregue")+COUNTIF(C6:G6,"Parcial")*0.5</f>
        <v>2</v>
      </c>
      <c r="I6" s="7">
        <f>H6/5</f>
        <v>0.4</v>
      </c>
      <c r="J6" s="3" t="str">
        <f>IF(COUNTA(C6:G6)=0,"Sem lançamento",IF(H6=5,"Completo",IF(H6=0,"Nada entregue","Em andamento")))</f>
        <v>Em andamento</v>
      </c>
      <c r="K6" s="8"/>
    </row>
    <row r="7" spans="1:11" x14ac:dyDescent="0.25">
      <c r="A7" s="9" t="s">
        <v>16</v>
      </c>
      <c r="B7" s="10" t="s">
        <v>17</v>
      </c>
      <c r="C7" s="5" t="s">
        <v>119</v>
      </c>
      <c r="D7" s="5" t="s">
        <v>119</v>
      </c>
      <c r="E7" s="5"/>
      <c r="F7" s="5"/>
      <c r="G7" s="5"/>
      <c r="H7" s="11">
        <f>COUNTIF(C7:G7,"Entregue")+COUNTIF(C7:G7,"Parcial")*0.5</f>
        <v>2</v>
      </c>
      <c r="I7" s="12">
        <f>H7/5</f>
        <v>0.4</v>
      </c>
      <c r="J7" s="9" t="str">
        <f>IF(COUNTA(C7:G7)=0,"Sem lançamento",IF(H7=5,"Completo",IF(H7=0,"Nada entregue","Em andamento")))</f>
        <v>Em andamento</v>
      </c>
      <c r="K7" s="13"/>
    </row>
    <row r="8" spans="1:11" x14ac:dyDescent="0.25">
      <c r="A8" s="3" t="s">
        <v>18</v>
      </c>
      <c r="B8" s="4" t="s">
        <v>19</v>
      </c>
      <c r="C8" s="5" t="s">
        <v>119</v>
      </c>
      <c r="D8" s="5" t="s">
        <v>119</v>
      </c>
      <c r="E8" s="5" t="s">
        <v>119</v>
      </c>
      <c r="F8" s="5"/>
      <c r="G8" s="5"/>
      <c r="H8" s="6">
        <f>COUNTIF(C8:G8,"Entregue")+COUNTIF(C8:G8,"Parcial")*0.5</f>
        <v>3</v>
      </c>
      <c r="I8" s="7">
        <f>H8/5</f>
        <v>0.6</v>
      </c>
      <c r="J8" s="3" t="str">
        <f>IF(COUNTA(C8:G8)=0,"Sem lançamento",IF(H8=5,"Completo",IF(H8=0,"Nada entregue","Em andamento")))</f>
        <v>Em andamento</v>
      </c>
      <c r="K8" s="8"/>
    </row>
    <row r="9" spans="1:11" x14ac:dyDescent="0.25">
      <c r="A9" s="9" t="s">
        <v>20</v>
      </c>
      <c r="B9" s="10" t="s">
        <v>21</v>
      </c>
      <c r="C9" s="5" t="s">
        <v>119</v>
      </c>
      <c r="D9" s="5" t="s">
        <v>119</v>
      </c>
      <c r="E9" s="5"/>
      <c r="F9" s="5"/>
      <c r="G9" s="5"/>
      <c r="H9" s="11">
        <f>COUNTIF(C9:G9,"Entregue")+COUNTIF(C9:G9,"Parcial")*0.5</f>
        <v>2</v>
      </c>
      <c r="I9" s="12">
        <f>H9/5</f>
        <v>0.4</v>
      </c>
      <c r="J9" s="9" t="str">
        <f>IF(COUNTA(C9:G9)=0,"Sem lançamento",IF(H9=5,"Completo",IF(H9=0,"Nada entregue","Em andamento")))</f>
        <v>Em andamento</v>
      </c>
      <c r="K9" s="13"/>
    </row>
    <row r="10" spans="1:11" hidden="1" x14ac:dyDescent="0.25">
      <c r="A10" s="3" t="s">
        <v>22</v>
      </c>
      <c r="B10" s="4" t="s">
        <v>23</v>
      </c>
      <c r="C10" s="5"/>
      <c r="D10" s="5"/>
      <c r="E10" s="5"/>
      <c r="F10" s="5"/>
      <c r="G10" s="5"/>
      <c r="H10" s="6">
        <f>COUNTIF(C10:G10,"Entregue")+COUNTIF(C10:G10,"Parcial")*0.5</f>
        <v>0</v>
      </c>
      <c r="I10" s="7">
        <f>H10/5</f>
        <v>0</v>
      </c>
      <c r="J10" s="3" t="str">
        <f>IF(COUNTA(C10:G10)=0,"Sem lançamento",IF(H10=5,"Completo",IF(H10=0,"Nada entregue","Em andamento")))</f>
        <v>Sem lançamento</v>
      </c>
      <c r="K10" s="8"/>
    </row>
    <row r="11" spans="1:11" x14ac:dyDescent="0.25">
      <c r="A11" s="9" t="s">
        <v>24</v>
      </c>
      <c r="B11" s="10" t="s">
        <v>25</v>
      </c>
      <c r="C11" s="5" t="s">
        <v>119</v>
      </c>
      <c r="D11" s="5" t="s">
        <v>119</v>
      </c>
      <c r="E11" s="5"/>
      <c r="F11" s="5"/>
      <c r="G11" s="5"/>
      <c r="H11" s="11">
        <f>COUNTIF(C11:G11,"Entregue")+COUNTIF(C11:G11,"Parcial")*0.5</f>
        <v>2</v>
      </c>
      <c r="I11" s="12">
        <f>H11/5</f>
        <v>0.4</v>
      </c>
      <c r="J11" s="9" t="str">
        <f>IF(COUNTA(C11:G11)=0,"Sem lançamento",IF(H11=5,"Completo",IF(H11=0,"Nada entregue","Em andamento")))</f>
        <v>Em andamento</v>
      </c>
      <c r="K11" s="13"/>
    </row>
    <row r="12" spans="1:11" x14ac:dyDescent="0.25">
      <c r="A12" s="3" t="s">
        <v>26</v>
      </c>
      <c r="B12" s="4" t="s">
        <v>27</v>
      </c>
      <c r="C12" s="5" t="s">
        <v>119</v>
      </c>
      <c r="D12" s="5" t="s">
        <v>119</v>
      </c>
      <c r="E12" s="5"/>
      <c r="F12" s="5"/>
      <c r="G12" s="5"/>
      <c r="H12" s="6">
        <f>COUNTIF(C12:G12,"Entregue")+COUNTIF(C12:G12,"Parcial")*0.5</f>
        <v>2</v>
      </c>
      <c r="I12" s="7">
        <f>H12/5</f>
        <v>0.4</v>
      </c>
      <c r="J12" s="3" t="str">
        <f>IF(COUNTA(C12:G12)=0,"Sem lançamento",IF(H12=5,"Completo",IF(H12=0,"Nada entregue","Em andamento")))</f>
        <v>Em andamento</v>
      </c>
      <c r="K12" s="8"/>
    </row>
    <row r="13" spans="1:11" x14ac:dyDescent="0.25">
      <c r="A13" s="9" t="s">
        <v>28</v>
      </c>
      <c r="B13" s="10" t="s">
        <v>29</v>
      </c>
      <c r="C13" s="5" t="s">
        <v>119</v>
      </c>
      <c r="D13" s="5" t="s">
        <v>119</v>
      </c>
      <c r="E13" s="5"/>
      <c r="F13" s="5"/>
      <c r="G13" s="5"/>
      <c r="H13" s="11">
        <f>COUNTIF(C13:G13,"Entregue")+COUNTIF(C13:G13,"Parcial")*0.5</f>
        <v>2</v>
      </c>
      <c r="I13" s="12">
        <f>H13/5</f>
        <v>0.4</v>
      </c>
      <c r="J13" s="9" t="str">
        <f>IF(COUNTA(C13:G13)=0,"Sem lançamento",IF(H13=5,"Completo",IF(H13=0,"Nada entregue","Em andamento")))</f>
        <v>Em andamento</v>
      </c>
      <c r="K13" s="13"/>
    </row>
    <row r="14" spans="1:11" x14ac:dyDescent="0.25">
      <c r="A14" s="3" t="s">
        <v>30</v>
      </c>
      <c r="B14" s="4" t="s">
        <v>31</v>
      </c>
      <c r="C14" s="5" t="s">
        <v>119</v>
      </c>
      <c r="D14" s="5" t="s">
        <v>119</v>
      </c>
      <c r="E14" s="5"/>
      <c r="F14" s="5"/>
      <c r="G14" s="5"/>
      <c r="H14" s="6">
        <f>COUNTIF(C14:G14,"Entregue")+COUNTIF(C14:G14,"Parcial")*0.5</f>
        <v>2</v>
      </c>
      <c r="I14" s="7">
        <f>H14/5</f>
        <v>0.4</v>
      </c>
      <c r="J14" s="3" t="str">
        <f>IF(COUNTA(C14:G14)=0,"Sem lançamento",IF(H14=5,"Completo",IF(H14=0,"Nada entregue","Em andamento")))</f>
        <v>Em andamento</v>
      </c>
      <c r="K14" s="8"/>
    </row>
    <row r="15" spans="1:11" x14ac:dyDescent="0.25">
      <c r="A15" s="9" t="s">
        <v>32</v>
      </c>
      <c r="B15" s="10" t="s">
        <v>33</v>
      </c>
      <c r="C15" s="5" t="s">
        <v>119</v>
      </c>
      <c r="D15" s="5" t="s">
        <v>119</v>
      </c>
      <c r="E15" s="5"/>
      <c r="F15" s="5"/>
      <c r="G15" s="5"/>
      <c r="H15" s="11">
        <f>COUNTIF(C15:G15,"Entregue")+COUNTIF(C15:G15,"Parcial")*0.5</f>
        <v>2</v>
      </c>
      <c r="I15" s="12">
        <f>H15/5</f>
        <v>0.4</v>
      </c>
      <c r="J15" s="9" t="str">
        <f>IF(COUNTA(C15:G15)=0,"Sem lançamento",IF(H15=5,"Completo",IF(H15=0,"Nada entregue","Em andamento")))</f>
        <v>Em andamento</v>
      </c>
      <c r="K15" s="13"/>
    </row>
    <row r="16" spans="1:11" x14ac:dyDescent="0.25">
      <c r="A16" s="3" t="s">
        <v>34</v>
      </c>
      <c r="B16" s="4" t="s">
        <v>35</v>
      </c>
      <c r="C16" s="5" t="s">
        <v>121</v>
      </c>
      <c r="D16" s="5" t="s">
        <v>121</v>
      </c>
      <c r="E16" s="5"/>
      <c r="F16" s="5"/>
      <c r="G16" s="5"/>
      <c r="H16" s="6">
        <f>COUNTIF(C16:G16,"Entregue")+COUNTIF(C16:G16,"Parcial")*0.5</f>
        <v>0</v>
      </c>
      <c r="I16" s="7">
        <f>H16/5</f>
        <v>0</v>
      </c>
      <c r="J16" s="3" t="str">
        <f>IF(COUNTA(C16:G16)=0,"Sem lançamento",IF(H16=5,"Completo",IF(H16=0,"Nada entregue","Em andamento")))</f>
        <v>Nada entregue</v>
      </c>
      <c r="K16" s="8"/>
    </row>
    <row r="17" spans="1:11" x14ac:dyDescent="0.25">
      <c r="A17" s="9" t="s">
        <v>36</v>
      </c>
      <c r="B17" s="10" t="s">
        <v>37</v>
      </c>
      <c r="C17" s="5" t="s">
        <v>121</v>
      </c>
      <c r="D17" s="5" t="s">
        <v>119</v>
      </c>
      <c r="E17" s="5"/>
      <c r="F17" s="5"/>
      <c r="G17" s="5"/>
      <c r="H17" s="11">
        <f>COUNTIF(C17:G17,"Entregue")+COUNTIF(C17:G17,"Parcial")*0.5</f>
        <v>1</v>
      </c>
      <c r="I17" s="12">
        <f>H17/5</f>
        <v>0.2</v>
      </c>
      <c r="J17" s="9" t="str">
        <f>IF(COUNTA(C17:G17)=0,"Sem lançamento",IF(H17=5,"Completo",IF(H17=0,"Nada entregue","Em andamento")))</f>
        <v>Em andamento</v>
      </c>
      <c r="K17" s="13"/>
    </row>
    <row r="18" spans="1:11" x14ac:dyDescent="0.25">
      <c r="A18" s="3" t="s">
        <v>38</v>
      </c>
      <c r="B18" s="4" t="s">
        <v>39</v>
      </c>
      <c r="C18" s="5" t="s">
        <v>119</v>
      </c>
      <c r="D18" s="5" t="s">
        <v>119</v>
      </c>
      <c r="E18" s="5"/>
      <c r="F18" s="5"/>
      <c r="G18" s="5"/>
      <c r="H18" s="6">
        <f>COUNTIF(C18:G18,"Entregue")+COUNTIF(C18:G18,"Parcial")*0.5</f>
        <v>2</v>
      </c>
      <c r="I18" s="7">
        <f>H18/5</f>
        <v>0.4</v>
      </c>
      <c r="J18" s="3" t="str">
        <f>IF(COUNTA(C18:G18)=0,"Sem lançamento",IF(H18=5,"Completo",IF(H18=0,"Nada entregue","Em andamento")))</f>
        <v>Em andamento</v>
      </c>
      <c r="K18" s="8"/>
    </row>
    <row r="19" spans="1:11" x14ac:dyDescent="0.25">
      <c r="A19" s="9" t="s">
        <v>40</v>
      </c>
      <c r="B19" s="10" t="s">
        <v>41</v>
      </c>
      <c r="C19" s="5" t="s">
        <v>119</v>
      </c>
      <c r="D19" s="5" t="s">
        <v>121</v>
      </c>
      <c r="E19" s="5"/>
      <c r="F19" s="5"/>
      <c r="G19" s="5"/>
      <c r="H19" s="11">
        <f>COUNTIF(C19:G19,"Entregue")+COUNTIF(C19:G19,"Parcial")*0.5</f>
        <v>1</v>
      </c>
      <c r="I19" s="12">
        <f>H19/5</f>
        <v>0.2</v>
      </c>
      <c r="J19" s="9" t="str">
        <f>IF(COUNTA(C19:G19)=0,"Sem lançamento",IF(H19=5,"Completo",IF(H19=0,"Nada entregue","Em andamento")))</f>
        <v>Em andamento</v>
      </c>
      <c r="K19" s="13"/>
    </row>
    <row r="20" spans="1:11" x14ac:dyDescent="0.25">
      <c r="A20" s="3" t="s">
        <v>42</v>
      </c>
      <c r="B20" s="4" t="s">
        <v>43</v>
      </c>
      <c r="C20" s="5" t="s">
        <v>119</v>
      </c>
      <c r="D20" s="5" t="s">
        <v>119</v>
      </c>
      <c r="E20" s="5"/>
      <c r="F20" s="5"/>
      <c r="G20" s="5"/>
      <c r="H20" s="6">
        <f>COUNTIF(C20:G20,"Entregue")+COUNTIF(C20:G20,"Parcial")*0.5</f>
        <v>2</v>
      </c>
      <c r="I20" s="7">
        <f>H20/5</f>
        <v>0.4</v>
      </c>
      <c r="J20" s="3" t="str">
        <f>IF(COUNTA(C20:G20)=0,"Sem lançamento",IF(H20=5,"Completo",IF(H20=0,"Nada entregue","Em andamento")))</f>
        <v>Em andamento</v>
      </c>
      <c r="K20" s="8"/>
    </row>
    <row r="21" spans="1:11" x14ac:dyDescent="0.25">
      <c r="A21" s="9" t="s">
        <v>44</v>
      </c>
      <c r="B21" s="10" t="s">
        <v>45</v>
      </c>
      <c r="C21" s="5" t="s">
        <v>119</v>
      </c>
      <c r="D21" s="5" t="s">
        <v>119</v>
      </c>
      <c r="E21" s="5"/>
      <c r="F21" s="5"/>
      <c r="G21" s="5"/>
      <c r="H21" s="11">
        <f>COUNTIF(C21:G21,"Entregue")+COUNTIF(C21:G21,"Parcial")*0.5</f>
        <v>2</v>
      </c>
      <c r="I21" s="12">
        <f>H21/5</f>
        <v>0.4</v>
      </c>
      <c r="J21" s="9" t="str">
        <f>IF(COUNTA(C21:G21)=0,"Sem lançamento",IF(H21=5,"Completo",IF(H21=0,"Nada entregue","Em andamento")))</f>
        <v>Em andamento</v>
      </c>
      <c r="K21" s="13"/>
    </row>
    <row r="22" spans="1:11" x14ac:dyDescent="0.25">
      <c r="A22" s="3" t="s">
        <v>46</v>
      </c>
      <c r="B22" s="4" t="s">
        <v>47</v>
      </c>
      <c r="C22" s="5" t="s">
        <v>119</v>
      </c>
      <c r="D22" s="5" t="s">
        <v>119</v>
      </c>
      <c r="E22" s="5"/>
      <c r="F22" s="5"/>
      <c r="G22" s="5"/>
      <c r="H22" s="6">
        <f>COUNTIF(C22:G22,"Entregue")+COUNTIF(C22:G22,"Parcial")*0.5</f>
        <v>2</v>
      </c>
      <c r="I22" s="7">
        <f>H22/5</f>
        <v>0.4</v>
      </c>
      <c r="J22" s="3" t="str">
        <f>IF(COUNTA(C22:G22)=0,"Sem lançamento",IF(H22=5,"Completo",IF(H22=0,"Nada entregue","Em andamento")))</f>
        <v>Em andamento</v>
      </c>
      <c r="K22" s="8"/>
    </row>
    <row r="23" spans="1:11" x14ac:dyDescent="0.25">
      <c r="A23" s="9" t="s">
        <v>48</v>
      </c>
      <c r="B23" s="10" t="s">
        <v>49</v>
      </c>
      <c r="C23" s="5" t="s">
        <v>121</v>
      </c>
      <c r="D23" s="5" t="s">
        <v>119</v>
      </c>
      <c r="E23" s="5"/>
      <c r="F23" s="5"/>
      <c r="G23" s="5"/>
      <c r="H23" s="11">
        <f>COUNTIF(C23:G23,"Entregue")+COUNTIF(C23:G23,"Parcial")*0.5</f>
        <v>1</v>
      </c>
      <c r="I23" s="12">
        <f>H23/5</f>
        <v>0.2</v>
      </c>
      <c r="J23" s="9" t="str">
        <f>IF(COUNTA(C23:G23)=0,"Sem lançamento",IF(H23=5,"Completo",IF(H23=0,"Nada entregue","Em andamento")))</f>
        <v>Em andamento</v>
      </c>
      <c r="K23" s="13"/>
    </row>
    <row r="24" spans="1:11" x14ac:dyDescent="0.25">
      <c r="A24" s="3" t="s">
        <v>50</v>
      </c>
      <c r="B24" s="4" t="s">
        <v>51</v>
      </c>
      <c r="C24" s="5" t="s">
        <v>121</v>
      </c>
      <c r="D24" s="5" t="s">
        <v>119</v>
      </c>
      <c r="E24" s="5"/>
      <c r="F24" s="5"/>
      <c r="G24" s="5"/>
      <c r="H24" s="6">
        <f>COUNTIF(C24:G24,"Entregue")+COUNTIF(C24:G24,"Parcial")*0.5</f>
        <v>1</v>
      </c>
      <c r="I24" s="7">
        <f>H24/5</f>
        <v>0.2</v>
      </c>
      <c r="J24" s="3" t="str">
        <f>IF(COUNTA(C24:G24)=0,"Sem lançamento",IF(H24=5,"Completo",IF(H24=0,"Nada entregue","Em andamento")))</f>
        <v>Em andamento</v>
      </c>
      <c r="K24" s="8"/>
    </row>
    <row r="25" spans="1:11" x14ac:dyDescent="0.25">
      <c r="A25" s="9" t="s">
        <v>52</v>
      </c>
      <c r="B25" s="10" t="s">
        <v>53</v>
      </c>
      <c r="C25" s="5" t="s">
        <v>119</v>
      </c>
      <c r="D25" s="5" t="s">
        <v>119</v>
      </c>
      <c r="E25" s="5"/>
      <c r="F25" s="5"/>
      <c r="G25" s="5"/>
      <c r="H25" s="11">
        <f>COUNTIF(C25:G25,"Entregue")+COUNTIF(C25:G25,"Parcial")*0.5</f>
        <v>2</v>
      </c>
      <c r="I25" s="12">
        <f>H25/5</f>
        <v>0.4</v>
      </c>
      <c r="J25" s="9" t="str">
        <f>IF(COUNTA(C25:G25)=0,"Sem lançamento",IF(H25=5,"Completo",IF(H25=0,"Nada entregue","Em andamento")))</f>
        <v>Em andamento</v>
      </c>
      <c r="K25" s="13"/>
    </row>
    <row r="26" spans="1:11" x14ac:dyDescent="0.25">
      <c r="A26" s="3" t="s">
        <v>54</v>
      </c>
      <c r="B26" s="4" t="s">
        <v>55</v>
      </c>
      <c r="C26" s="5" t="s">
        <v>119</v>
      </c>
      <c r="D26" s="5" t="s">
        <v>119</v>
      </c>
      <c r="E26" s="5"/>
      <c r="F26" s="5"/>
      <c r="G26" s="5"/>
      <c r="H26" s="6">
        <f>COUNTIF(C26:G26,"Entregue")+COUNTIF(C26:G26,"Parcial")*0.5</f>
        <v>2</v>
      </c>
      <c r="I26" s="7">
        <f>H26/5</f>
        <v>0.4</v>
      </c>
      <c r="J26" s="3" t="str">
        <f>IF(COUNTA(C26:G26)=0,"Sem lançamento",IF(H26=5,"Completo",IF(H26=0,"Nada entregue","Em andamento")))</f>
        <v>Em andamento</v>
      </c>
      <c r="K26" s="8"/>
    </row>
    <row r="27" spans="1:11" x14ac:dyDescent="0.25">
      <c r="A27" s="9" t="s">
        <v>56</v>
      </c>
      <c r="B27" s="10" t="s">
        <v>57</v>
      </c>
      <c r="C27" s="5" t="s">
        <v>119</v>
      </c>
      <c r="D27" s="5" t="s">
        <v>121</v>
      </c>
      <c r="E27" s="5"/>
      <c r="F27" s="5"/>
      <c r="G27" s="5"/>
      <c r="H27" s="11">
        <f>COUNTIF(C27:G27,"Entregue")+COUNTIF(C27:G27,"Parcial")*0.5</f>
        <v>1</v>
      </c>
      <c r="I27" s="12">
        <f>H27/5</f>
        <v>0.2</v>
      </c>
      <c r="J27" s="9" t="str">
        <f>IF(COUNTA(C27:G27)=0,"Sem lançamento",IF(H27=5,"Completo",IF(H27=0,"Nada entregue","Em andamento")))</f>
        <v>Em andamento</v>
      </c>
      <c r="K27" s="13"/>
    </row>
    <row r="28" spans="1:11" x14ac:dyDescent="0.25">
      <c r="A28" s="3" t="s">
        <v>58</v>
      </c>
      <c r="B28" s="4" t="s">
        <v>59</v>
      </c>
      <c r="C28" s="5" t="s">
        <v>119</v>
      </c>
      <c r="D28" s="5" t="s">
        <v>119</v>
      </c>
      <c r="E28" s="5"/>
      <c r="F28" s="5"/>
      <c r="G28" s="5"/>
      <c r="H28" s="6">
        <f>COUNTIF(C28:G28,"Entregue")+COUNTIF(C28:G28,"Parcial")*0.5</f>
        <v>2</v>
      </c>
      <c r="I28" s="7">
        <f>H28/5</f>
        <v>0.4</v>
      </c>
      <c r="J28" s="3" t="str">
        <f>IF(COUNTA(C28:G28)=0,"Sem lançamento",IF(H28=5,"Completo",IF(H28=0,"Nada entregue","Em andamento")))</f>
        <v>Em andamento</v>
      </c>
      <c r="K28" s="8"/>
    </row>
    <row r="29" spans="1:11" hidden="1" x14ac:dyDescent="0.25">
      <c r="A29" s="9" t="s">
        <v>60</v>
      </c>
      <c r="B29" s="10" t="s">
        <v>61</v>
      </c>
      <c r="C29" s="5"/>
      <c r="D29" s="5"/>
      <c r="E29" s="5"/>
      <c r="F29" s="5"/>
      <c r="G29" s="5"/>
      <c r="H29" s="11">
        <f>COUNTIF(C29:G29,"Entregue")+COUNTIF(C29:G29,"Parcial")*0.5</f>
        <v>0</v>
      </c>
      <c r="I29" s="12">
        <f>H29/5</f>
        <v>0</v>
      </c>
      <c r="J29" s="9" t="str">
        <f>IF(COUNTA(C29:G29)=0,"Sem lançamento",IF(H29=5,"Completo",IF(H29=0,"Nada entregue","Em andamento")))</f>
        <v>Sem lançamento</v>
      </c>
      <c r="K29" s="13"/>
    </row>
    <row r="30" spans="1:11" x14ac:dyDescent="0.25">
      <c r="A30" s="3" t="s">
        <v>62</v>
      </c>
      <c r="B30" s="4" t="s">
        <v>63</v>
      </c>
      <c r="C30" s="5" t="s">
        <v>119</v>
      </c>
      <c r="D30" s="5" t="s">
        <v>119</v>
      </c>
      <c r="E30" s="5"/>
      <c r="F30" s="5"/>
      <c r="G30" s="5"/>
      <c r="H30" s="6">
        <f>COUNTIF(C30:G30,"Entregue")+COUNTIF(C30:G30,"Parcial")*0.5</f>
        <v>2</v>
      </c>
      <c r="I30" s="7">
        <f>H30/5</f>
        <v>0.4</v>
      </c>
      <c r="J30" s="3" t="str">
        <f>IF(COUNTA(C30:G30)=0,"Sem lançamento",IF(H30=5,"Completo",IF(H30=0,"Nada entregue","Em andamento")))</f>
        <v>Em andamento</v>
      </c>
      <c r="K30" s="8"/>
    </row>
    <row r="31" spans="1:11" x14ac:dyDescent="0.25">
      <c r="A31" s="9" t="s">
        <v>64</v>
      </c>
      <c r="B31" s="10" t="s">
        <v>65</v>
      </c>
      <c r="C31" s="5" t="s">
        <v>119</v>
      </c>
      <c r="D31" s="5" t="s">
        <v>121</v>
      </c>
      <c r="E31" s="5"/>
      <c r="F31" s="5"/>
      <c r="G31" s="5"/>
      <c r="H31" s="11">
        <f>COUNTIF(C31:G31,"Entregue")+COUNTIF(C31:G31,"Parcial")*0.5</f>
        <v>1</v>
      </c>
      <c r="I31" s="12">
        <f>H31/5</f>
        <v>0.2</v>
      </c>
      <c r="J31" s="9" t="str">
        <f>IF(COUNTA(C31:G31)=0,"Sem lançamento",IF(H31=5,"Completo",IF(H31=0,"Nada entregue","Em andamento")))</f>
        <v>Em andamento</v>
      </c>
      <c r="K31" s="13"/>
    </row>
    <row r="32" spans="1:11" x14ac:dyDescent="0.25">
      <c r="A32" s="3" t="s">
        <v>66</v>
      </c>
      <c r="B32" s="4" t="s">
        <v>67</v>
      </c>
      <c r="C32" s="5" t="s">
        <v>119</v>
      </c>
      <c r="D32" s="5" t="s">
        <v>119</v>
      </c>
      <c r="E32" s="5"/>
      <c r="F32" s="5"/>
      <c r="G32" s="5"/>
      <c r="H32" s="6">
        <f>COUNTIF(C32:G32,"Entregue")+COUNTIF(C32:G32,"Parcial")*0.5</f>
        <v>2</v>
      </c>
      <c r="I32" s="7">
        <f>H32/5</f>
        <v>0.4</v>
      </c>
      <c r="J32" s="3" t="str">
        <f>IF(COUNTA(C32:G32)=0,"Sem lançamento",IF(H32=5,"Completo",IF(H32=0,"Nada entregue","Em andamento")))</f>
        <v>Em andamento</v>
      </c>
      <c r="K32" s="8"/>
    </row>
    <row r="33" spans="1:11" x14ac:dyDescent="0.25">
      <c r="A33" s="9" t="s">
        <v>68</v>
      </c>
      <c r="B33" s="10" t="s">
        <v>69</v>
      </c>
      <c r="C33" s="5" t="s">
        <v>119</v>
      </c>
      <c r="D33" s="5" t="s">
        <v>119</v>
      </c>
      <c r="E33" s="5"/>
      <c r="F33" s="5"/>
      <c r="G33" s="5"/>
      <c r="H33" s="11">
        <f>COUNTIF(C33:G33,"Entregue")+COUNTIF(C33:G33,"Parcial")*0.5</f>
        <v>2</v>
      </c>
      <c r="I33" s="12">
        <f>H33/5</f>
        <v>0.4</v>
      </c>
      <c r="J33" s="9" t="str">
        <f>IF(COUNTA(C33:G33)=0,"Sem lançamento",IF(H33=5,"Completo",IF(H33=0,"Nada entregue","Em andamento")))</f>
        <v>Em andamento</v>
      </c>
      <c r="K33" s="13"/>
    </row>
    <row r="34" spans="1:11" x14ac:dyDescent="0.25">
      <c r="A34" s="3" t="s">
        <v>70</v>
      </c>
      <c r="B34" s="4" t="s">
        <v>71</v>
      </c>
      <c r="C34" s="5" t="s">
        <v>119</v>
      </c>
      <c r="D34" s="5" t="s">
        <v>119</v>
      </c>
      <c r="E34" s="5"/>
      <c r="F34" s="5"/>
      <c r="G34" s="5"/>
      <c r="H34" s="6">
        <f>COUNTIF(C34:G34,"Entregue")+COUNTIF(C34:G34,"Parcial")*0.5</f>
        <v>2</v>
      </c>
      <c r="I34" s="7">
        <f>H34/5</f>
        <v>0.4</v>
      </c>
      <c r="J34" s="3" t="str">
        <f>IF(COUNTA(C34:G34)=0,"Sem lançamento",IF(H34=5,"Completo",IF(H34=0,"Nada entregue","Em andamento")))</f>
        <v>Em andamento</v>
      </c>
      <c r="K34" s="8"/>
    </row>
    <row r="35" spans="1:11" x14ac:dyDescent="0.25">
      <c r="A35" s="9" t="s">
        <v>72</v>
      </c>
      <c r="B35" s="10" t="s">
        <v>73</v>
      </c>
      <c r="C35" s="5" t="s">
        <v>119</v>
      </c>
      <c r="D35" s="5" t="s">
        <v>121</v>
      </c>
      <c r="E35" s="5"/>
      <c r="F35" s="5"/>
      <c r="G35" s="5"/>
      <c r="H35" s="11">
        <f>COUNTIF(C35:G35,"Entregue")+COUNTIF(C35:G35,"Parcial")*0.5</f>
        <v>1</v>
      </c>
      <c r="I35" s="12">
        <f>H35/5</f>
        <v>0.2</v>
      </c>
      <c r="J35" s="9" t="str">
        <f>IF(COUNTA(C35:G35)=0,"Sem lançamento",IF(H35=5,"Completo",IF(H35=0,"Nada entregue","Em andamento")))</f>
        <v>Em andamento</v>
      </c>
      <c r="K35" s="13"/>
    </row>
    <row r="36" spans="1:11" x14ac:dyDescent="0.25">
      <c r="A36" s="3" t="s">
        <v>74</v>
      </c>
      <c r="B36" s="4" t="s">
        <v>75</v>
      </c>
      <c r="C36" s="5" t="s">
        <v>119</v>
      </c>
      <c r="D36" s="5" t="s">
        <v>119</v>
      </c>
      <c r="E36" s="5"/>
      <c r="F36" s="5"/>
      <c r="G36" s="5"/>
      <c r="H36" s="6">
        <f>COUNTIF(C36:G36,"Entregue")+COUNTIF(C36:G36,"Parcial")*0.5</f>
        <v>2</v>
      </c>
      <c r="I36" s="7">
        <f>H36/5</f>
        <v>0.4</v>
      </c>
      <c r="J36" s="3" t="str">
        <f>IF(COUNTA(C36:G36)=0,"Sem lançamento",IF(H36=5,"Completo",IF(H36=0,"Nada entregue","Em andamento")))</f>
        <v>Em andamento</v>
      </c>
      <c r="K36" s="8"/>
    </row>
    <row r="37" spans="1:11" x14ac:dyDescent="0.25">
      <c r="A37" s="9" t="s">
        <v>76</v>
      </c>
      <c r="B37" s="10" t="s">
        <v>77</v>
      </c>
      <c r="C37" s="5" t="s">
        <v>121</v>
      </c>
      <c r="D37" s="5" t="s">
        <v>119</v>
      </c>
      <c r="E37" s="5"/>
      <c r="F37" s="5"/>
      <c r="G37" s="5"/>
      <c r="H37" s="11">
        <f>COUNTIF(C37:G37,"Entregue")+COUNTIF(C37:G37,"Parcial")*0.5</f>
        <v>1</v>
      </c>
      <c r="I37" s="12">
        <f>H37/5</f>
        <v>0.2</v>
      </c>
      <c r="J37" s="9" t="str">
        <f>IF(COUNTA(C37:G37)=0,"Sem lançamento",IF(H37=5,"Completo",IF(H37=0,"Nada entregue","Em andamento")))</f>
        <v>Em andamento</v>
      </c>
      <c r="K37" s="13"/>
    </row>
    <row r="38" spans="1:11" x14ac:dyDescent="0.25">
      <c r="A38" s="3" t="s">
        <v>78</v>
      </c>
      <c r="B38" s="4" t="s">
        <v>79</v>
      </c>
      <c r="C38" s="5" t="s">
        <v>119</v>
      </c>
      <c r="D38" s="5" t="s">
        <v>119</v>
      </c>
      <c r="E38" s="5"/>
      <c r="F38" s="5"/>
      <c r="G38" s="5"/>
      <c r="H38" s="6">
        <f>COUNTIF(C38:G38,"Entregue")+COUNTIF(C38:G38,"Parcial")*0.5</f>
        <v>2</v>
      </c>
      <c r="I38" s="7">
        <f>H38/5</f>
        <v>0.4</v>
      </c>
      <c r="J38" s="3" t="str">
        <f>IF(COUNTA(C38:G38)=0,"Sem lançamento",IF(H38=5,"Completo",IF(H38=0,"Nada entregue","Em andamento")))</f>
        <v>Em andamento</v>
      </c>
      <c r="K38" s="8"/>
    </row>
    <row r="39" spans="1:11" x14ac:dyDescent="0.25">
      <c r="A39" s="9" t="s">
        <v>80</v>
      </c>
      <c r="B39" s="10" t="s">
        <v>81</v>
      </c>
      <c r="C39" s="5" t="s">
        <v>119</v>
      </c>
      <c r="D39" s="5" t="s">
        <v>119</v>
      </c>
      <c r="E39" s="5"/>
      <c r="F39" s="5"/>
      <c r="G39" s="5"/>
      <c r="H39" s="11">
        <f>COUNTIF(C39:G39,"Entregue")+COUNTIF(C39:G39,"Parcial")*0.5</f>
        <v>2</v>
      </c>
      <c r="I39" s="12">
        <f>H39/5</f>
        <v>0.4</v>
      </c>
      <c r="J39" s="9" t="str">
        <f>IF(COUNTA(C39:G39)=0,"Sem lançamento",IF(H39=5,"Completo",IF(H39=0,"Nada entregue","Em andamento")))</f>
        <v>Em andamento</v>
      </c>
      <c r="K39" s="13"/>
    </row>
    <row r="40" spans="1:11" x14ac:dyDescent="0.25">
      <c r="A40" s="3" t="s">
        <v>82</v>
      </c>
      <c r="B40" s="4" t="s">
        <v>83</v>
      </c>
      <c r="C40" s="5" t="s">
        <v>119</v>
      </c>
      <c r="D40" s="5" t="s">
        <v>119</v>
      </c>
      <c r="E40" s="5"/>
      <c r="F40" s="5"/>
      <c r="G40" s="5"/>
      <c r="H40" s="6">
        <f>COUNTIF(C40:G40,"Entregue")+COUNTIF(C40:G40,"Parcial")*0.5</f>
        <v>2</v>
      </c>
      <c r="I40" s="7">
        <f>H40/5</f>
        <v>0.4</v>
      </c>
      <c r="J40" s="3" t="str">
        <f>IF(COUNTA(C40:G40)=0,"Sem lançamento",IF(H40=5,"Completo",IF(H40=0,"Nada entregue","Em andamento")))</f>
        <v>Em andamento</v>
      </c>
      <c r="K40" s="8"/>
    </row>
    <row r="41" spans="1:11" hidden="1" x14ac:dyDescent="0.25">
      <c r="A41" s="9" t="s">
        <v>84</v>
      </c>
      <c r="B41" s="10" t="s">
        <v>85</v>
      </c>
      <c r="C41" s="5"/>
      <c r="D41" s="5"/>
      <c r="E41" s="5"/>
      <c r="F41" s="5"/>
      <c r="G41" s="5"/>
      <c r="H41" s="11">
        <f>COUNTIF(C41:G41,"Entregue")+COUNTIF(C41:G41,"Parcial")*0.5</f>
        <v>0</v>
      </c>
      <c r="I41" s="12">
        <f>H41/5</f>
        <v>0</v>
      </c>
      <c r="J41" s="9" t="str">
        <f>IF(COUNTA(C41:G41)=0,"Sem lançamento",IF(H41=5,"Completo",IF(H41=0,"Nada entregue","Em andamento")))</f>
        <v>Sem lançamento</v>
      </c>
      <c r="K41" s="13"/>
    </row>
    <row r="42" spans="1:11" x14ac:dyDescent="0.25">
      <c r="A42" s="3" t="s">
        <v>86</v>
      </c>
      <c r="B42" s="4" t="s">
        <v>87</v>
      </c>
      <c r="C42" s="5" t="s">
        <v>119</v>
      </c>
      <c r="D42" s="5" t="s">
        <v>119</v>
      </c>
      <c r="E42" s="5"/>
      <c r="F42" s="5"/>
      <c r="G42" s="5"/>
      <c r="H42" s="6">
        <f>COUNTIF(C42:G42,"Entregue")+COUNTIF(C42:G42,"Parcial")*0.5</f>
        <v>2</v>
      </c>
      <c r="I42" s="7">
        <f>H42/5</f>
        <v>0.4</v>
      </c>
      <c r="J42" s="3" t="str">
        <f>IF(COUNTA(C42:G42)=0,"Sem lançamento",IF(H42=5,"Completo",IF(H42=0,"Nada entregue","Em andamento")))</f>
        <v>Em andamento</v>
      </c>
      <c r="K42" s="8"/>
    </row>
    <row r="43" spans="1:11" x14ac:dyDescent="0.25">
      <c r="A43" s="9" t="s">
        <v>88</v>
      </c>
      <c r="B43" s="10" t="s">
        <v>89</v>
      </c>
      <c r="C43" s="5" t="s">
        <v>121</v>
      </c>
      <c r="D43" s="5" t="s">
        <v>119</v>
      </c>
      <c r="E43" s="5"/>
      <c r="F43" s="5"/>
      <c r="G43" s="5"/>
      <c r="H43" s="11">
        <f>COUNTIF(C43:G43,"Entregue")+COUNTIF(C43:G43,"Parcial")*0.5</f>
        <v>1</v>
      </c>
      <c r="I43" s="12">
        <f>H43/5</f>
        <v>0.2</v>
      </c>
      <c r="J43" s="9" t="str">
        <f>IF(COUNTA(C43:G43)=0,"Sem lançamento",IF(H43=5,"Completo",IF(H43=0,"Nada entregue","Em andamento")))</f>
        <v>Em andamento</v>
      </c>
      <c r="K43" s="13"/>
    </row>
    <row r="44" spans="1:11" x14ac:dyDescent="0.25">
      <c r="A44" s="3" t="s">
        <v>90</v>
      </c>
      <c r="B44" s="4" t="s">
        <v>91</v>
      </c>
      <c r="C44" s="5" t="s">
        <v>121</v>
      </c>
      <c r="D44" s="5" t="s">
        <v>119</v>
      </c>
      <c r="E44" s="5"/>
      <c r="F44" s="5"/>
      <c r="G44" s="5"/>
      <c r="H44" s="6">
        <f>COUNTIF(C44:G44,"Entregue")+COUNTIF(C44:G44,"Parcial")*0.5</f>
        <v>1</v>
      </c>
      <c r="I44" s="7">
        <f>H44/5</f>
        <v>0.2</v>
      </c>
      <c r="J44" s="3" t="str">
        <f>IF(COUNTA(C44:G44)=0,"Sem lançamento",IF(H44=5,"Completo",IF(H44=0,"Nada entregue","Em andamento")))</f>
        <v>Em andamento</v>
      </c>
      <c r="K44" s="8"/>
    </row>
    <row r="45" spans="1:11" x14ac:dyDescent="0.25">
      <c r="A45" s="9" t="s">
        <v>92</v>
      </c>
      <c r="B45" s="10" t="s">
        <v>93</v>
      </c>
      <c r="C45" s="5" t="s">
        <v>121</v>
      </c>
      <c r="D45" s="5" t="s">
        <v>119</v>
      </c>
      <c r="E45" s="5"/>
      <c r="F45" s="5"/>
      <c r="G45" s="5"/>
      <c r="H45" s="11">
        <f>COUNTIF(C45:G45,"Entregue")+COUNTIF(C45:G45,"Parcial")*0.5</f>
        <v>1</v>
      </c>
      <c r="I45" s="12">
        <f>H45/5</f>
        <v>0.2</v>
      </c>
      <c r="J45" s="9" t="str">
        <f>IF(COUNTA(C45:G45)=0,"Sem lançamento",IF(H45=5,"Completo",IF(H45=0,"Nada entregue","Em andamento")))</f>
        <v>Em andamento</v>
      </c>
      <c r="K45" s="13"/>
    </row>
    <row r="46" spans="1:11" x14ac:dyDescent="0.25">
      <c r="A46" s="3" t="s">
        <v>94</v>
      </c>
      <c r="B46" s="4" t="s">
        <v>95</v>
      </c>
      <c r="C46" s="5" t="s">
        <v>119</v>
      </c>
      <c r="D46" s="5" t="s">
        <v>119</v>
      </c>
      <c r="E46" s="5"/>
      <c r="F46" s="5"/>
      <c r="G46" s="5"/>
      <c r="H46" s="6">
        <f>COUNTIF(C46:G46,"Entregue")+COUNTIF(C46:G46,"Parcial")*0.5</f>
        <v>2</v>
      </c>
      <c r="I46" s="7">
        <f>H46/5</f>
        <v>0.4</v>
      </c>
      <c r="J46" s="3" t="str">
        <f>IF(COUNTA(C46:G46)=0,"Sem lançamento",IF(H46=5,"Completo",IF(H46=0,"Nada entregue","Em andamento")))</f>
        <v>Em andamento</v>
      </c>
      <c r="K46" s="8"/>
    </row>
    <row r="47" spans="1:11" x14ac:dyDescent="0.25">
      <c r="A47" s="9" t="s">
        <v>96</v>
      </c>
      <c r="B47" s="10" t="s">
        <v>97</v>
      </c>
      <c r="C47" s="5" t="s">
        <v>119</v>
      </c>
      <c r="D47" s="5" t="s">
        <v>119</v>
      </c>
      <c r="E47" s="5"/>
      <c r="F47" s="5"/>
      <c r="G47" s="5"/>
      <c r="H47" s="11">
        <f>COUNTIF(C47:G47,"Entregue")+COUNTIF(C47:G47,"Parcial")*0.5</f>
        <v>2</v>
      </c>
      <c r="I47" s="12">
        <f>H47/5</f>
        <v>0.4</v>
      </c>
      <c r="J47" s="9" t="str">
        <f>IF(COUNTA(C47:G47)=0,"Sem lançamento",IF(H47=5,"Completo",IF(H47=0,"Nada entregue","Em andamento")))</f>
        <v>Em andamento</v>
      </c>
      <c r="K47" s="13"/>
    </row>
    <row r="48" spans="1:11" x14ac:dyDescent="0.25">
      <c r="A48" s="3" t="s">
        <v>98</v>
      </c>
      <c r="B48" s="4" t="s">
        <v>99</v>
      </c>
      <c r="C48" s="5" t="s">
        <v>121</v>
      </c>
      <c r="D48" s="5" t="s">
        <v>121</v>
      </c>
      <c r="E48" s="5"/>
      <c r="F48" s="5"/>
      <c r="G48" s="5"/>
      <c r="H48" s="6">
        <f>COUNTIF(C48:G48,"Entregue")+COUNTIF(C48:G48,"Parcial")*0.5</f>
        <v>0</v>
      </c>
      <c r="I48" s="7">
        <f>H48/5</f>
        <v>0</v>
      </c>
      <c r="J48" s="3" t="str">
        <f>IF(COUNTA(C48:G48)=0,"Sem lançamento",IF(H48=5,"Completo",IF(H48=0,"Nada entregue","Em andamento")))</f>
        <v>Nada entregue</v>
      </c>
      <c r="K48" s="8"/>
    </row>
    <row r="49" spans="1:11" x14ac:dyDescent="0.25">
      <c r="A49" s="9" t="s">
        <v>100</v>
      </c>
      <c r="B49" s="10" t="s">
        <v>101</v>
      </c>
      <c r="C49" s="5" t="s">
        <v>119</v>
      </c>
      <c r="D49" s="5" t="s">
        <v>119</v>
      </c>
      <c r="E49" s="5"/>
      <c r="F49" s="5"/>
      <c r="G49" s="5"/>
      <c r="H49" s="11">
        <f>COUNTIF(C49:G49,"Entregue")+COUNTIF(C49:G49,"Parcial")*0.5</f>
        <v>2</v>
      </c>
      <c r="I49" s="12">
        <f>H49/5</f>
        <v>0.4</v>
      </c>
      <c r="J49" s="9" t="str">
        <f>IF(COUNTA(C49:G49)=0,"Sem lançamento",IF(H49=5,"Completo",IF(H49=0,"Nada entregue","Em andamento")))</f>
        <v>Em andamento</v>
      </c>
      <c r="K49" s="13"/>
    </row>
    <row r="50" spans="1:11" x14ac:dyDescent="0.25">
      <c r="A50" s="3" t="s">
        <v>102</v>
      </c>
      <c r="B50" s="4" t="s">
        <v>103</v>
      </c>
      <c r="C50" s="5" t="s">
        <v>119</v>
      </c>
      <c r="D50" s="5" t="s">
        <v>119</v>
      </c>
      <c r="E50" s="5"/>
      <c r="F50" s="5"/>
      <c r="G50" s="5"/>
      <c r="H50" s="6">
        <f>COUNTIF(C50:G50,"Entregue")+COUNTIF(C50:G50,"Parcial")*0.5</f>
        <v>2</v>
      </c>
      <c r="I50" s="7">
        <f>H50/5</f>
        <v>0.4</v>
      </c>
      <c r="J50" s="3" t="str">
        <f>IF(COUNTA(C50:G50)=0,"Sem lançamento",IF(H50=5,"Completo",IF(H50=0,"Nada entregue","Em andamento")))</f>
        <v>Em andamento</v>
      </c>
      <c r="K50" s="8"/>
    </row>
    <row r="51" spans="1:11" x14ac:dyDescent="0.25">
      <c r="A51" s="9" t="s">
        <v>104</v>
      </c>
      <c r="B51" s="10" t="s">
        <v>105</v>
      </c>
      <c r="C51" s="5" t="s">
        <v>119</v>
      </c>
      <c r="D51" s="5" t="s">
        <v>119</v>
      </c>
      <c r="E51" s="5"/>
      <c r="F51" s="5"/>
      <c r="G51" s="5"/>
      <c r="H51" s="11">
        <f>COUNTIF(C51:G51,"Entregue")+COUNTIF(C51:G51,"Parcial")*0.5</f>
        <v>2</v>
      </c>
      <c r="I51" s="12">
        <f>H51/5</f>
        <v>0.4</v>
      </c>
      <c r="J51" s="9" t="str">
        <f>IF(COUNTA(C51:G51)=0,"Sem lançamento",IF(H51=5,"Completo",IF(H51=0,"Nada entregue","Em andamento")))</f>
        <v>Em andamento</v>
      </c>
      <c r="K51" s="13"/>
    </row>
    <row r="52" spans="1:11" x14ac:dyDescent="0.25">
      <c r="B52" s="14" t="s">
        <v>106</v>
      </c>
      <c r="C52" s="32"/>
    </row>
    <row r="53" spans="1:11" x14ac:dyDescent="0.25">
      <c r="A53" s="32"/>
      <c r="B53" s="33" t="s">
        <v>107</v>
      </c>
      <c r="C53" s="15">
        <f>COUNTA(B6:B51)</f>
        <v>46</v>
      </c>
      <c r="D53" s="32"/>
      <c r="E53" s="32"/>
      <c r="F53" s="32"/>
      <c r="G53" s="32"/>
      <c r="H53" s="32"/>
      <c r="I53" s="32"/>
      <c r="J53" s="32"/>
      <c r="K53" s="32"/>
    </row>
    <row r="54" spans="1:11" x14ac:dyDescent="0.25">
      <c r="A54" s="32"/>
      <c r="B54" s="33" t="s">
        <v>108</v>
      </c>
      <c r="C54" s="15">
        <f>COUNTIF(J6:J51,"Completo")</f>
        <v>0</v>
      </c>
      <c r="D54" s="32"/>
      <c r="E54" s="32"/>
      <c r="F54" s="32"/>
      <c r="G54" s="32"/>
      <c r="H54" s="32"/>
      <c r="I54" s="32"/>
      <c r="J54" s="32"/>
      <c r="K54" s="32"/>
    </row>
    <row r="55" spans="1:11" x14ac:dyDescent="0.25">
      <c r="A55" s="32"/>
      <c r="B55" s="33" t="s">
        <v>109</v>
      </c>
      <c r="C55" s="15">
        <f>COUNTIF(J6:J51,"Em andamento")</f>
        <v>41</v>
      </c>
      <c r="D55" s="32"/>
      <c r="E55" s="32"/>
      <c r="F55" s="32"/>
      <c r="G55" s="32"/>
      <c r="H55" s="32"/>
      <c r="I55" s="32"/>
      <c r="J55" s="32"/>
      <c r="K55" s="32"/>
    </row>
    <row r="56" spans="1:11" x14ac:dyDescent="0.25">
      <c r="A56" s="32"/>
      <c r="B56" s="33" t="s">
        <v>110</v>
      </c>
      <c r="C56" s="15">
        <f>COUNTIF(J6:J51,"Nada entregue")</f>
        <v>2</v>
      </c>
      <c r="D56" s="32"/>
      <c r="E56" s="32"/>
      <c r="F56" s="32"/>
      <c r="G56" s="32"/>
      <c r="H56" s="32"/>
      <c r="I56" s="32"/>
      <c r="J56" s="32"/>
      <c r="K56" s="32"/>
    </row>
    <row r="57" spans="1:11" x14ac:dyDescent="0.25">
      <c r="A57" s="32"/>
      <c r="B57" s="33" t="s">
        <v>111</v>
      </c>
      <c r="C57" s="15">
        <f>COUNTIF(J6:J51,"Sem lançamento")</f>
        <v>3</v>
      </c>
      <c r="D57" s="32"/>
      <c r="E57" s="32"/>
      <c r="F57" s="32"/>
      <c r="G57" s="32"/>
      <c r="H57" s="32"/>
      <c r="I57" s="32"/>
      <c r="J57" s="32"/>
      <c r="K57" s="32"/>
    </row>
    <row r="58" spans="1:11" x14ac:dyDescent="0.25">
      <c r="A58" s="32"/>
      <c r="B58" s="33" t="s">
        <v>112</v>
      </c>
      <c r="C58" s="16">
        <f>ROUND(AVERAGE(H6:H51),2)</f>
        <v>1.57</v>
      </c>
      <c r="D58" s="32"/>
      <c r="E58" s="32"/>
      <c r="F58" s="32"/>
      <c r="G58" s="32"/>
      <c r="H58" s="32"/>
      <c r="I58" s="32"/>
      <c r="J58" s="32"/>
      <c r="K58" s="32"/>
    </row>
    <row r="59" spans="1:11" x14ac:dyDescent="0.25">
      <c r="A59" s="32"/>
      <c r="B59" s="33" t="s">
        <v>113</v>
      </c>
      <c r="C59" s="17">
        <f>ROUND(AVERAGE(I6:I51),3)</f>
        <v>0.313</v>
      </c>
      <c r="D59" s="32"/>
      <c r="E59" s="32"/>
      <c r="F59" s="32"/>
      <c r="G59" s="32"/>
      <c r="H59" s="32"/>
      <c r="I59" s="32"/>
      <c r="J59" s="32"/>
      <c r="K59" s="32"/>
    </row>
    <row r="61" spans="1:11" x14ac:dyDescent="0.25">
      <c r="B61" s="1" t="s">
        <v>114</v>
      </c>
    </row>
  </sheetData>
  <autoFilter ref="A5:K51" xr:uid="{00000000-0009-0000-0000-000000000000}"/>
  <mergeCells count="3">
    <mergeCell ref="A1:K1"/>
    <mergeCell ref="A2:K2"/>
    <mergeCell ref="A3:K3"/>
  </mergeCells>
  <conditionalFormatting sqref="C6:G51">
    <cfRule type="cellIs" dxfId="7" priority="2" operator="equal">
      <formula>"Entregue"</formula>
    </cfRule>
    <cfRule type="cellIs" dxfId="6" priority="3" operator="equal">
      <formula>"Parcial"</formula>
    </cfRule>
    <cfRule type="cellIs" dxfId="5" priority="4" operator="equal">
      <formula>"Pendente"</formula>
    </cfRule>
  </conditionalFormatting>
  <conditionalFormatting sqref="I6:I51">
    <cfRule type="expression" dxfId="4" priority="19">
      <formula>AND(COUNTA($C6:$G6)&gt;0,$I6&lt;0.6)</formula>
    </cfRule>
  </conditionalFormatting>
  <conditionalFormatting sqref="J6:J51">
    <cfRule type="cellIs" dxfId="3" priority="17" operator="equal">
      <formula>"Completo"</formula>
    </cfRule>
    <cfRule type="cellIs" dxfId="2" priority="18" operator="equal">
      <formula>"Nada entregue"</formula>
    </cfRule>
  </conditionalFormatting>
  <dataValidations count="1">
    <dataValidation type="list" allowBlank="1" errorTitle="Valor inválido" error="Escolha: Entregue, Parcial ou Pendente." sqref="C6:G51" xr:uid="{00000000-0002-0000-0000-000000000000}">
      <formula1>"Entregue,Parcial,Pendente"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3"/>
  <sheetViews>
    <sheetView zoomScaleNormal="100" workbookViewId="0"/>
  </sheetViews>
  <sheetFormatPr defaultColWidth="8.7109375" defaultRowHeight="15" x14ac:dyDescent="0.25"/>
  <cols>
    <col min="1" max="1" width="10" customWidth="1"/>
    <col min="2" max="2" width="34" customWidth="1"/>
    <col min="3" max="3" width="11" customWidth="1"/>
    <col min="4" max="4" width="10" customWidth="1"/>
    <col min="5" max="5" width="11" customWidth="1"/>
    <col min="6" max="6" width="12" customWidth="1"/>
  </cols>
  <sheetData>
    <row r="1" spans="1:6" ht="21.75" customHeight="1" x14ac:dyDescent="0.25">
      <c r="A1" s="29" t="s">
        <v>115</v>
      </c>
      <c r="B1" s="29"/>
      <c r="C1" s="29"/>
      <c r="D1" s="29"/>
      <c r="E1" s="29"/>
      <c r="F1" s="29"/>
    </row>
    <row r="2" spans="1:6" x14ac:dyDescent="0.25">
      <c r="A2" s="30" t="s">
        <v>116</v>
      </c>
      <c r="B2" s="30"/>
      <c r="C2" s="30"/>
      <c r="D2" s="30"/>
      <c r="E2" s="30"/>
      <c r="F2" s="30"/>
    </row>
    <row r="4" spans="1:6" x14ac:dyDescent="0.25">
      <c r="A4" s="18" t="s">
        <v>117</v>
      </c>
      <c r="B4" s="18" t="s">
        <v>118</v>
      </c>
      <c r="C4" s="18" t="s">
        <v>119</v>
      </c>
      <c r="D4" s="18" t="s">
        <v>120</v>
      </c>
      <c r="E4" s="18" t="s">
        <v>121</v>
      </c>
      <c r="F4" s="18" t="s">
        <v>122</v>
      </c>
    </row>
    <row r="5" spans="1:6" x14ac:dyDescent="0.25">
      <c r="A5" s="19" t="s">
        <v>123</v>
      </c>
      <c r="B5" s="4" t="s">
        <v>124</v>
      </c>
      <c r="C5" s="20">
        <f>COUNTIF(Controle!C6:C51,"Entregue")</f>
        <v>34</v>
      </c>
      <c r="D5" s="20">
        <f>COUNTIF(Controle!C6:C51,"Parcial")</f>
        <v>0</v>
      </c>
      <c r="E5" s="20">
        <f>COUNTIF(Controle!C6:C51,"Pendente")</f>
        <v>9</v>
      </c>
      <c r="F5" s="21">
        <f>C5/COUNTA(Controle!B6:B51)</f>
        <v>0.73913043478260865</v>
      </c>
    </row>
    <row r="6" spans="1:6" x14ac:dyDescent="0.25">
      <c r="A6" s="22" t="s">
        <v>125</v>
      </c>
      <c r="B6" s="10" t="s">
        <v>126</v>
      </c>
      <c r="C6" s="23">
        <f>COUNTIF(Controle!D6:D51,"Entregue")</f>
        <v>37</v>
      </c>
      <c r="D6" s="23">
        <f>COUNTIF(Controle!D6:D51,"Parcial")</f>
        <v>0</v>
      </c>
      <c r="E6" s="23">
        <f>COUNTIF(Controle!D6:D51,"Pendente")</f>
        <v>6</v>
      </c>
      <c r="F6" s="24">
        <f>C6/COUNTA(Controle!B6:B51)</f>
        <v>0.80434782608695654</v>
      </c>
    </row>
    <row r="7" spans="1:6" x14ac:dyDescent="0.25">
      <c r="A7" s="19" t="s">
        <v>127</v>
      </c>
      <c r="B7" s="4" t="s">
        <v>128</v>
      </c>
      <c r="C7" s="20">
        <f>COUNTIF(Controle!E6:E51,"Entregue")</f>
        <v>1</v>
      </c>
      <c r="D7" s="20">
        <f>COUNTIF(Controle!E6:E51,"Parcial")</f>
        <v>0</v>
      </c>
      <c r="E7" s="20">
        <f>COUNTIF(Controle!E6:E51,"Pendente")</f>
        <v>0</v>
      </c>
      <c r="F7" s="21">
        <f>C7/COUNTA(Controle!B6:B51)</f>
        <v>2.1739130434782608E-2</v>
      </c>
    </row>
    <row r="8" spans="1:6" x14ac:dyDescent="0.25">
      <c r="A8" s="22" t="s">
        <v>129</v>
      </c>
      <c r="B8" s="10" t="s">
        <v>130</v>
      </c>
      <c r="C8" s="23">
        <f>COUNTIF(Controle!F6:F51,"Entregue")</f>
        <v>0</v>
      </c>
      <c r="D8" s="23">
        <f>COUNTIF(Controle!F6:F51,"Parcial")</f>
        <v>0</v>
      </c>
      <c r="E8" s="23">
        <f>COUNTIF(Controle!F6:F51,"Pendente")</f>
        <v>0</v>
      </c>
      <c r="F8" s="24">
        <f>C8/COUNTA(Controle!B6:B51)</f>
        <v>0</v>
      </c>
    </row>
    <row r="9" spans="1:6" x14ac:dyDescent="0.25">
      <c r="A9" s="19" t="s">
        <v>131</v>
      </c>
      <c r="B9" s="4" t="s">
        <v>132</v>
      </c>
      <c r="C9" s="20">
        <f>COUNTIF(Controle!G6:G51,"Entregue")</f>
        <v>0</v>
      </c>
      <c r="D9" s="20">
        <f>COUNTIF(Controle!G6:G51,"Parcial")</f>
        <v>0</v>
      </c>
      <c r="E9" s="20">
        <f>COUNTIF(Controle!G6:G51,"Pendente")</f>
        <v>0</v>
      </c>
      <c r="F9" s="21">
        <f>C9/COUNTA(Controle!B6:B51)</f>
        <v>0</v>
      </c>
    </row>
    <row r="11" spans="1:6" x14ac:dyDescent="0.25">
      <c r="A11" s="25" t="s">
        <v>133</v>
      </c>
    </row>
    <row r="12" spans="1:6" ht="15" customHeight="1" x14ac:dyDescent="0.25">
      <c r="A12" s="31" t="s">
        <v>134</v>
      </c>
      <c r="B12" s="31"/>
      <c r="C12" s="31"/>
      <c r="D12" s="31"/>
      <c r="E12" s="31"/>
      <c r="F12" s="31"/>
    </row>
    <row r="13" spans="1:6" x14ac:dyDescent="0.25">
      <c r="A13" s="31"/>
      <c r="B13" s="31"/>
      <c r="C13" s="31"/>
      <c r="D13" s="31"/>
      <c r="E13" s="31"/>
      <c r="F13" s="31"/>
    </row>
  </sheetData>
  <mergeCells count="3">
    <mergeCell ref="A1:F1"/>
    <mergeCell ref="A2:F2"/>
    <mergeCell ref="A12:F13"/>
  </mergeCells>
  <conditionalFormatting sqref="F5:F9">
    <cfRule type="cellIs" dxfId="1" priority="2" operator="lessThan">
      <formula>0.5</formula>
    </cfRule>
    <cfRule type="cellIs" dxfId="0" priority="3" operator="greaterThanOrEqual">
      <formula>0.8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Controle</vt:lpstr>
      <vt:lpstr>Painel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ERICSON COSTA</cp:lastModifiedBy>
  <cp:revision>0</cp:revision>
  <dcterms:created xsi:type="dcterms:W3CDTF">2026-10-15T16:34:26Z</dcterms:created>
  <dcterms:modified xsi:type="dcterms:W3CDTF">2026-10-27T15:46:25Z</dcterms:modified>
  <dc:language>en-US</dc:language>
</cp:coreProperties>
</file>