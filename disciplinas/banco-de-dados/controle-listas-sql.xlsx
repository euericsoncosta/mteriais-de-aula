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trole" sheetId="1" state="visible" r:id="rId3"/>
    <sheet name="Painel" sheetId="2" state="visible" r:id="rId4"/>
  </sheets>
  <definedNames>
    <definedName function="false" hidden="true" localSheetId="0" name="_xlnm._FilterDatabase" vbProcedure="false">Controle!$A$5:$K$51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<sst xmlns="http://schemas.openxmlformats.org/spreadsheetml/2006/main" count="135" uniqueCount="135">
  <si>
    <t xml:space="preserve">BANCO DE DADOS — CONTROLE DE ENTREGA DAS LISTAS DE SQL</t>
  </si>
  <si>
    <t xml:space="preserve">Projeto Biblioteca Escolar · arquivo biblioteca_nome.sql · listas 1 a 5</t>
  </si>
  <si>
    <t xml:space="preserve">Preencha apenas as colunas das listas (fundo amarelo), escolhendo na lista suspensa: Entregue, Parcial ou Pendente. Entregue vale 1 ponto e Parcial vale 0,5. O restante é calculado.</t>
  </si>
  <si>
    <t xml:space="preserve">Cód.</t>
  </si>
  <si>
    <t xml:space="preserve">Aluno(a)</t>
  </si>
  <si>
    <t xml:space="preserve">Lista 1
CREATE</t>
  </si>
  <si>
    <t xml:space="preserve">Lista 2
INSERT</t>
  </si>
  <si>
    <t xml:space="preserve">Lista 3
SELECT</t>
  </si>
  <si>
    <t xml:space="preserve">Lista 4
UPDATE/agreg.</t>
  </si>
  <si>
    <t xml:space="preserve">Lista 5
JOIN</t>
  </si>
  <si>
    <t xml:space="preserve">Entregues
(0 a 5)</t>
  </si>
  <si>
    <t xml:space="preserve">% concluído</t>
  </si>
  <si>
    <t xml:space="preserve">Situação</t>
  </si>
  <si>
    <t xml:space="preserve">Observação</t>
  </si>
  <si>
    <t xml:space="preserve">V01</t>
  </si>
  <si>
    <t xml:space="preserve">ANTONIO MEDEIROS DA COSTA FILHO</t>
  </si>
  <si>
    <t xml:space="preserve">V02</t>
  </si>
  <si>
    <t xml:space="preserve">BIANCA DE LIMA SABOIA</t>
  </si>
  <si>
    <t xml:space="preserve">V03</t>
  </si>
  <si>
    <t xml:space="preserve">BRENO LIMA DA SILVA</t>
  </si>
  <si>
    <t xml:space="preserve">V04</t>
  </si>
  <si>
    <t xml:space="preserve">CECILLYA LIMA CAVALCANTE</t>
  </si>
  <si>
    <t xml:space="preserve">V05</t>
  </si>
  <si>
    <t xml:space="preserve">DAVI FALCAO DA SILVA</t>
  </si>
  <si>
    <t xml:space="preserve">V06</t>
  </si>
  <si>
    <t xml:space="preserve">DION VITOR MOREIRA DE LIMA</t>
  </si>
  <si>
    <t xml:space="preserve">V07</t>
  </si>
  <si>
    <t xml:space="preserve">EMANUEL CANDIDO RABELO OLIVEIRA</t>
  </si>
  <si>
    <t xml:space="preserve">V08</t>
  </si>
  <si>
    <t xml:space="preserve">EMILLY DOS SANTOS DA SILVA</t>
  </si>
  <si>
    <t xml:space="preserve">V09</t>
  </si>
  <si>
    <t xml:space="preserve">EMILLY RAIKA PEREIRA DE SOUSA</t>
  </si>
  <si>
    <t xml:space="preserve">V10</t>
  </si>
  <si>
    <t xml:space="preserve">ERIKA BENTO DO NASCIMENTO</t>
  </si>
  <si>
    <t xml:space="preserve">V11</t>
  </si>
  <si>
    <t xml:space="preserve">FELIPE GABRIEL BRITO LOPES</t>
  </si>
  <si>
    <t xml:space="preserve">V12</t>
  </si>
  <si>
    <t xml:space="preserve">FRANCISCO GUSTAVO LIMA VIEIRA</t>
  </si>
  <si>
    <t xml:space="preserve">V13</t>
  </si>
  <si>
    <t xml:space="preserve">FRANCISCO ISMAEL DE SOUSA</t>
  </si>
  <si>
    <t xml:space="preserve">V14</t>
  </si>
  <si>
    <t xml:space="preserve">GABRIEL GIRAO DE VASCONCELOS</t>
  </si>
  <si>
    <t xml:space="preserve">V15</t>
  </si>
  <si>
    <t xml:space="preserve">GABRIEL LEVY DA SIVA MIRANDA</t>
  </si>
  <si>
    <t xml:space="preserve">V16</t>
  </si>
  <si>
    <t xml:space="preserve">HEMILLY LIMA SILVEIRA</t>
  </si>
  <si>
    <t xml:space="preserve">V17</t>
  </si>
  <si>
    <t xml:space="preserve">IARLEY BARBOSA DA SILVA</t>
  </si>
  <si>
    <t xml:space="preserve">V18</t>
  </si>
  <si>
    <t xml:space="preserve">ICARO BRUNO NASCIMENTO SILVA</t>
  </si>
  <si>
    <t xml:space="preserve">V19</t>
  </si>
  <si>
    <t xml:space="preserve">ISABEL JUCA TREVISAN</t>
  </si>
  <si>
    <t xml:space="preserve">V20</t>
  </si>
  <si>
    <t xml:space="preserve">JOAO GABRIEL SOUSA DOS SANTOS</t>
  </si>
  <si>
    <t xml:space="preserve">V21</t>
  </si>
  <si>
    <t xml:space="preserve">JOAO VICTOR OLIVEIRA DA SILVA</t>
  </si>
  <si>
    <t xml:space="preserve">V22</t>
  </si>
  <si>
    <t xml:space="preserve">JOAO VITOR DA SILVA SANTOS</t>
  </si>
  <si>
    <t xml:space="preserve">V23</t>
  </si>
  <si>
    <t xml:space="preserve">JOSE MARIO ALMEIDA MACHADO</t>
  </si>
  <si>
    <t xml:space="preserve">V24</t>
  </si>
  <si>
    <t xml:space="preserve">JOSE MATEUS DAVID MOTA</t>
  </si>
  <si>
    <t xml:space="preserve">V25</t>
  </si>
  <si>
    <t xml:space="preserve">KARLOS ROBERTO GOMES DA SILVA PATRICIO</t>
  </si>
  <si>
    <t xml:space="preserve">V26</t>
  </si>
  <si>
    <t xml:space="preserve">KEYRISSON GABRIEL NOGUEIRA SANTIAGO</t>
  </si>
  <si>
    <t xml:space="preserve">V27</t>
  </si>
  <si>
    <t xml:space="preserve">LETICIA PEREIRA DA SILVA</t>
  </si>
  <si>
    <t xml:space="preserve">V28</t>
  </si>
  <si>
    <t xml:space="preserve">LEVI GOMES DA SILVA</t>
  </si>
  <si>
    <t xml:space="preserve">V29</t>
  </si>
  <si>
    <t xml:space="preserve">MARCIO GUILHERME ARAUJO GOMES</t>
  </si>
  <si>
    <t xml:space="preserve">V30</t>
  </si>
  <si>
    <t xml:space="preserve">MARCUS VINICIUS JUCA ALMEIDA</t>
  </si>
  <si>
    <t xml:space="preserve">V31</t>
  </si>
  <si>
    <t xml:space="preserve">MARIA ELIZA RIBEIRO DA SILVA</t>
  </si>
  <si>
    <t xml:space="preserve">V32</t>
  </si>
  <si>
    <t xml:space="preserve">MARIA LETICIA PEREIRA DA SILVA</t>
  </si>
  <si>
    <t xml:space="preserve">V33</t>
  </si>
  <si>
    <t xml:space="preserve">MATHEUS DA SILVA OLIVEIRA</t>
  </si>
  <si>
    <t xml:space="preserve">V34</t>
  </si>
  <si>
    <t xml:space="preserve">MATHEUS HAMILTON DA SILVA DE CASTRO</t>
  </si>
  <si>
    <t xml:space="preserve">V35</t>
  </si>
  <si>
    <t xml:space="preserve">MIGUEL ANGELO OLIVEIRA SILVA</t>
  </si>
  <si>
    <t xml:space="preserve">V36</t>
  </si>
  <si>
    <t xml:space="preserve">PAULO THIAGO MENEZES GOMES</t>
  </si>
  <si>
    <t xml:space="preserve">V37</t>
  </si>
  <si>
    <t xml:space="preserve">PEDRO YARLEI PEREIRA COSTA</t>
  </si>
  <si>
    <t xml:space="preserve">V38</t>
  </si>
  <si>
    <t xml:space="preserve">QUESIA DANTAS DOS REIS</t>
  </si>
  <si>
    <t xml:space="preserve">V39</t>
  </si>
  <si>
    <t xml:space="preserve">RAMIRO RODRIGUES RIBEIRO</t>
  </si>
  <si>
    <t xml:space="preserve">V40</t>
  </si>
  <si>
    <t xml:space="preserve">RUAN DEVID QUEIROZ DA SILVA</t>
  </si>
  <si>
    <t xml:space="preserve">V41</t>
  </si>
  <si>
    <t xml:space="preserve">RUAN QUEIROZ DA SILVA</t>
  </si>
  <si>
    <t xml:space="preserve">V42</t>
  </si>
  <si>
    <t xml:space="preserve">TALYSON GUILHERME BENICIO DA SILVA</t>
  </si>
  <si>
    <t xml:space="preserve">V43</t>
  </si>
  <si>
    <t xml:space="preserve">VINICIUS DAVI NEPOMUCENO DA SILVA</t>
  </si>
  <si>
    <t xml:space="preserve">V44</t>
  </si>
  <si>
    <t xml:space="preserve">WILLIANE DO NASCIMENTO SILVA</t>
  </si>
  <si>
    <t xml:space="preserve">V45</t>
  </si>
  <si>
    <t xml:space="preserve">YEGO ESTEVAO DA SILVA</t>
  </si>
  <si>
    <t xml:space="preserve">V46</t>
  </si>
  <si>
    <t xml:space="preserve">CAIO FERREIRA LEITE</t>
  </si>
  <si>
    <t xml:space="preserve">RESUMO DA TURMA</t>
  </si>
  <si>
    <t xml:space="preserve">Alunos na turma</t>
  </si>
  <si>
    <t xml:space="preserve">Concluíram as 5 listas</t>
  </si>
  <si>
    <t xml:space="preserve">Em andamento</t>
  </si>
  <si>
    <t xml:space="preserve">Nada entregue</t>
  </si>
  <si>
    <t xml:space="preserve">Sem lançamento ainda</t>
  </si>
  <si>
    <t xml:space="preserve">Média de listas entregues</t>
  </si>
  <si>
    <t xml:space="preserve">Conclusão média da turma</t>
  </si>
  <si>
    <t xml:space="preserve">As listas são encadeadas: constroem o mesmo banco, da Lista 1 à Lista 5. Um aluno que não entregou a Lista 1 ou a 2 não consegue fazer as seguintes — priorize esses casos.</t>
  </si>
  <si>
    <t xml:space="preserve">PAINEL POR LISTA — ONDE A TURMA ESTÁ</t>
  </si>
  <si>
    <t xml:space="preserve">Atualiza sozinho conforme você preenche a aba Controle</t>
  </si>
  <si>
    <t xml:space="preserve">Lista</t>
  </si>
  <si>
    <t xml:space="preserve">Conteúdo</t>
  </si>
  <si>
    <t xml:space="preserve">Entregue</t>
  </si>
  <si>
    <t xml:space="preserve">Parcial</t>
  </si>
  <si>
    <t xml:space="preserve">Pendente</t>
  </si>
  <si>
    <t xml:space="preserve">% entregue</t>
  </si>
  <si>
    <t xml:space="preserve">Lista 1</t>
  </si>
  <si>
    <t xml:space="preserve">Criar banco e tabelas (DDL)</t>
  </si>
  <si>
    <t xml:space="preserve">Lista 2</t>
  </si>
  <si>
    <t xml:space="preserve">Popular com os dados (INSERT)</t>
  </si>
  <si>
    <t xml:space="preserve">Lista 3</t>
  </si>
  <si>
    <t xml:space="preserve">Consultas com SELECT</t>
  </si>
  <si>
    <t xml:space="preserve">Lista 4</t>
  </si>
  <si>
    <t xml:space="preserve">UPDATE, DELETE e agregação</t>
  </si>
  <si>
    <t xml:space="preserve">Lista 5</t>
  </si>
  <si>
    <t xml:space="preserve">JOIN entre tabelas</t>
  </si>
  <si>
    <t xml:space="preserve">Como ler este painel</t>
  </si>
  <si>
    <t xml:space="preserve">A coluna % entregue mostra a proporção da turma que concluiu cada lista. Como as listas são encadeadas, a primeira linha com percentual baixo indica onde a turma travou: é nela que vale retomar o conteúdo antes de seguir.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</si>
</sst>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%"/>
    <numFmt numFmtId="167" formatCode="General"/>
    <numFmt numFmtId="168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i val="true"/>
      <sz val="8.5"/>
      <color rgb="FF42424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.5"/>
      <name val="Arial"/>
      <family val="0"/>
      <charset val="1"/>
    </font>
    <font>
      <sz val="9"/>
      <name val="Arial"/>
      <family val="0"/>
      <charset val="1"/>
    </font>
    <font>
      <sz val="8.5"/>
      <color rgb="FF0000FF"/>
      <name val="Arial"/>
      <family val="0"/>
      <charset val="1"/>
    </font>
    <font>
      <b val="true"/>
      <sz val="9.5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8D6E0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0.5"/>
      <color rgb="FF1B5E20"/>
      <name val="Arial"/>
      <family val="0"/>
      <charset val="1"/>
    </font>
    <font>
      <sz val="9"/>
      <color rgb="FF42424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2E7D32"/>
        <bgColor rgb="FF1B5E20"/>
      </patternFill>
    </fill>
    <fill>
      <patternFill patternType="solid">
        <fgColor rgb="FFFFF9C4"/>
        <bgColor rgb="FFFFF3C4"/>
      </patternFill>
    </fill>
    <fill>
      <patternFill patternType="solid">
        <fgColor rgb="FFE8F5E9"/>
        <bgColor rgb="FFF2F2F2"/>
      </patternFill>
    </fill>
    <fill>
      <patternFill patternType="solid">
        <fgColor rgb="FFF2F2F2"/>
        <bgColor rgb="FFE8F5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E7D32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D6E00"/>
          <bgColor rgb="FF000000"/>
        </patternFill>
      </fill>
    </dxf>
    <dxf>
      <font>
        <name val="Arial"/>
        <charset val="1"/>
        <family val="0"/>
        <b val="1"/>
        <color rgb="FF1B5E20"/>
        <sz val="8"/>
      </font>
      <fill>
        <patternFill>
          <bgColor rgb="FFC8E6C9"/>
        </patternFill>
      </fill>
    </dxf>
    <dxf>
      <font>
        <name val="Arial"/>
        <charset val="1"/>
        <family val="0"/>
        <b val="1"/>
        <color rgb="FF8D6E00"/>
        <sz val="8"/>
      </font>
      <fill>
        <patternFill>
          <bgColor rgb="FFFFF3C4"/>
        </patternFill>
      </fill>
    </dxf>
    <dxf>
      <font>
        <name val="Arial"/>
        <charset val="1"/>
        <family val="0"/>
        <b val="1"/>
        <color rgb="FFB71C1C"/>
        <sz val="8"/>
      </font>
      <fill>
        <patternFill>
          <bgColor rgb="FFFFCDD2"/>
        </patternFill>
      </fill>
    </dxf>
    <dxf>
      <fill>
        <patternFill>
          <bgColor rgb="FFFFE0E0"/>
        </patternFill>
      </fill>
    </dxf>
    <dxf>
      <font>
        <name val="Arial"/>
        <charset val="1"/>
        <family val="0"/>
        <b val="1"/>
        <color rgb="FFB71C1C"/>
        <sz val="9"/>
      </font>
      <fill>
        <patternFill>
          <bgColor rgb="FFFFCDD2"/>
        </patternFill>
      </fill>
    </dxf>
    <dxf>
      <font>
        <name val="Arial"/>
        <charset val="1"/>
        <family val="0"/>
        <b val="1"/>
        <color rgb="FF1B5E20"/>
        <sz val="9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D6E00"/>
      <rgbColor rgb="FF800080"/>
      <rgbColor rgb="FF008080"/>
      <rgbColor rgb="FFBDBDBD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8E6C9"/>
      <rgbColor rgb="FFFFF3C4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B71C1C"/>
      <rgbColor rgb="FF993366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5" min="3" style="0" width="11"/>
    <col collapsed="false" customWidth="true" hidden="false" outlineLevel="0" max="6" min="6" style="0" width="13"/>
    <col collapsed="false" customWidth="true" hidden="false" outlineLevel="0" max="9" min="7" style="0" width="11"/>
    <col collapsed="false" customWidth="true" hidden="false" outlineLevel="0" max="10" min="10" style="0" width="14"/>
    <col collapsed="false" customWidth="true" hidden="false" outlineLevel="0" max="11" min="11" style="0" width="34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5" customFormat="false" ht="33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customFormat="false" ht="15" hidden="false" customHeight="false" outlineLevel="0" collapsed="false">
      <c r="A6" s="5" t="s">
        <v>14</v>
      </c>
      <c r="B6" s="6" t="s">
        <v>15</v>
      </c>
      <c r="C6" s="7"/>
      <c r="D6" s="7"/>
      <c r="E6" s="7"/>
      <c r="F6" s="7"/>
      <c r="G6" s="7"/>
      <c r="H6" s="8" t="n">
        <f aca="false">COUNTIF(C6:G6,"Entregue")+COUNTIF(C6:G6,"Parcial")*0.5</f>
        <v>0</v>
      </c>
      <c r="I6" s="9" t="n">
        <f aca="false">H6/5</f>
        <v>0</v>
      </c>
      <c r="J6" s="5" t="str">
        <f aca="false">IF(COUNTA(C6:G6)=0,"Sem lançamento",IF(H6=5,"Completo",IF(H6=0,"Nada entregue","Em andamento")))</f>
        <v>Sem lançamento</v>
      </c>
      <c r="K6" s="10"/>
    </row>
    <row r="7" customFormat="false" ht="15" hidden="false" customHeight="false" outlineLevel="0" collapsed="false">
      <c r="A7" s="11" t="s">
        <v>16</v>
      </c>
      <c r="B7" s="12" t="s">
        <v>17</v>
      </c>
      <c r="C7" s="7"/>
      <c r="D7" s="7"/>
      <c r="E7" s="7"/>
      <c r="F7" s="7"/>
      <c r="G7" s="7"/>
      <c r="H7" s="13" t="n">
        <f aca="false">COUNTIF(C7:G7,"Entregue")+COUNTIF(C7:G7,"Parcial")*0.5</f>
        <v>0</v>
      </c>
      <c r="I7" s="14" t="n">
        <f aca="false">H7/5</f>
        <v>0</v>
      </c>
      <c r="J7" s="11" t="str">
        <f aca="false">IF(COUNTA(C7:G7)=0,"Sem lançamento",IF(H7=5,"Completo",IF(H7=0,"Nada entregue","Em andamento")))</f>
        <v>Sem lançamento</v>
      </c>
      <c r="K7" s="15"/>
    </row>
    <row r="8" customFormat="false" ht="15" hidden="false" customHeight="false" outlineLevel="0" collapsed="false">
      <c r="A8" s="5" t="s">
        <v>18</v>
      </c>
      <c r="B8" s="6" t="s">
        <v>19</v>
      </c>
      <c r="C8" s="7"/>
      <c r="D8" s="7"/>
      <c r="E8" s="7"/>
      <c r="F8" s="7"/>
      <c r="G8" s="7"/>
      <c r="H8" s="8" t="n">
        <f aca="false">COUNTIF(C8:G8,"Entregue")+COUNTIF(C8:G8,"Parcial")*0.5</f>
        <v>0</v>
      </c>
      <c r="I8" s="9" t="n">
        <f aca="false">H8/5</f>
        <v>0</v>
      </c>
      <c r="J8" s="5" t="str">
        <f aca="false">IF(COUNTA(C8:G8)=0,"Sem lançamento",IF(H8=5,"Completo",IF(H8=0,"Nada entregue","Em andamento")))</f>
        <v>Sem lançamento</v>
      </c>
      <c r="K8" s="10"/>
    </row>
    <row r="9" customFormat="false" ht="15" hidden="false" customHeight="false" outlineLevel="0" collapsed="false">
      <c r="A9" s="11" t="s">
        <v>20</v>
      </c>
      <c r="B9" s="12" t="s">
        <v>21</v>
      </c>
      <c r="C9" s="7"/>
      <c r="D9" s="7"/>
      <c r="E9" s="7"/>
      <c r="F9" s="7"/>
      <c r="G9" s="7"/>
      <c r="H9" s="13" t="n">
        <f aca="false">COUNTIF(C9:G9,"Entregue")+COUNTIF(C9:G9,"Parcial")*0.5</f>
        <v>0</v>
      </c>
      <c r="I9" s="14" t="n">
        <f aca="false">H9/5</f>
        <v>0</v>
      </c>
      <c r="J9" s="11" t="str">
        <f aca="false">IF(COUNTA(C9:G9)=0,"Sem lançamento",IF(H9=5,"Completo",IF(H9=0,"Nada entregue","Em andamento")))</f>
        <v>Sem lançamento</v>
      </c>
      <c r="K9" s="15"/>
    </row>
    <row r="10" customFormat="false" ht="15" hidden="false" customHeight="false" outlineLevel="0" collapsed="false">
      <c r="A10" s="5" t="s">
        <v>22</v>
      </c>
      <c r="B10" s="6" t="s">
        <v>23</v>
      </c>
      <c r="C10" s="7"/>
      <c r="D10" s="7"/>
      <c r="E10" s="7"/>
      <c r="F10" s="7"/>
      <c r="G10" s="7"/>
      <c r="H10" s="8" t="n">
        <f aca="false">COUNTIF(C10:G10,"Entregue")+COUNTIF(C10:G10,"Parcial")*0.5</f>
        <v>0</v>
      </c>
      <c r="I10" s="9" t="n">
        <f aca="false">H10/5</f>
        <v>0</v>
      </c>
      <c r="J10" s="5" t="str">
        <f aca="false">IF(COUNTA(C10:G10)=0,"Sem lançamento",IF(H10=5,"Completo",IF(H10=0,"Nada entregue","Em andamento")))</f>
        <v>Sem lançamento</v>
      </c>
      <c r="K10" s="10"/>
    </row>
    <row r="11" customFormat="false" ht="15" hidden="false" customHeight="false" outlineLevel="0" collapsed="false">
      <c r="A11" s="11" t="s">
        <v>24</v>
      </c>
      <c r="B11" s="12" t="s">
        <v>25</v>
      </c>
      <c r="C11" s="7"/>
      <c r="D11" s="7"/>
      <c r="E11" s="7"/>
      <c r="F11" s="7"/>
      <c r="G11" s="7"/>
      <c r="H11" s="13" t="n">
        <f aca="false">COUNTIF(C11:G11,"Entregue")+COUNTIF(C11:G11,"Parcial")*0.5</f>
        <v>0</v>
      </c>
      <c r="I11" s="14" t="n">
        <f aca="false">H11/5</f>
        <v>0</v>
      </c>
      <c r="J11" s="11" t="str">
        <f aca="false">IF(COUNTA(C11:G11)=0,"Sem lançamento",IF(H11=5,"Completo",IF(H11=0,"Nada entregue","Em andamento")))</f>
        <v>Sem lançamento</v>
      </c>
      <c r="K11" s="15"/>
    </row>
    <row r="12" customFormat="false" ht="15" hidden="false" customHeight="false" outlineLevel="0" collapsed="false">
      <c r="A12" s="5" t="s">
        <v>26</v>
      </c>
      <c r="B12" s="6" t="s">
        <v>27</v>
      </c>
      <c r="C12" s="7"/>
      <c r="D12" s="7"/>
      <c r="E12" s="7"/>
      <c r="F12" s="7"/>
      <c r="G12" s="7"/>
      <c r="H12" s="8" t="n">
        <f aca="false">COUNTIF(C12:G12,"Entregue")+COUNTIF(C12:G12,"Parcial")*0.5</f>
        <v>0</v>
      </c>
      <c r="I12" s="9" t="n">
        <f aca="false">H12/5</f>
        <v>0</v>
      </c>
      <c r="J12" s="5" t="str">
        <f aca="false">IF(COUNTA(C12:G12)=0,"Sem lançamento",IF(H12=5,"Completo",IF(H12=0,"Nada entregue","Em andamento")))</f>
        <v>Sem lançamento</v>
      </c>
      <c r="K12" s="10"/>
    </row>
    <row r="13" customFormat="false" ht="15" hidden="false" customHeight="false" outlineLevel="0" collapsed="false">
      <c r="A13" s="11" t="s">
        <v>28</v>
      </c>
      <c r="B13" s="12" t="s">
        <v>29</v>
      </c>
      <c r="C13" s="7"/>
      <c r="D13" s="7"/>
      <c r="E13" s="7"/>
      <c r="F13" s="7"/>
      <c r="G13" s="7"/>
      <c r="H13" s="13" t="n">
        <f aca="false">COUNTIF(C13:G13,"Entregue")+COUNTIF(C13:G13,"Parcial")*0.5</f>
        <v>0</v>
      </c>
      <c r="I13" s="14" t="n">
        <f aca="false">H13/5</f>
        <v>0</v>
      </c>
      <c r="J13" s="11" t="str">
        <f aca="false">IF(COUNTA(C13:G13)=0,"Sem lançamento",IF(H13=5,"Completo",IF(H13=0,"Nada entregue","Em andamento")))</f>
        <v>Sem lançamento</v>
      </c>
      <c r="K13" s="15"/>
    </row>
    <row r="14" customFormat="false" ht="15" hidden="false" customHeight="false" outlineLevel="0" collapsed="false">
      <c r="A14" s="5" t="s">
        <v>30</v>
      </c>
      <c r="B14" s="6" t="s">
        <v>31</v>
      </c>
      <c r="C14" s="7"/>
      <c r="D14" s="7"/>
      <c r="E14" s="7"/>
      <c r="F14" s="7"/>
      <c r="G14" s="7"/>
      <c r="H14" s="8" t="n">
        <f aca="false">COUNTIF(C14:G14,"Entregue")+COUNTIF(C14:G14,"Parcial")*0.5</f>
        <v>0</v>
      </c>
      <c r="I14" s="9" t="n">
        <f aca="false">H14/5</f>
        <v>0</v>
      </c>
      <c r="J14" s="5" t="str">
        <f aca="false">IF(COUNTA(C14:G14)=0,"Sem lançamento",IF(H14=5,"Completo",IF(H14=0,"Nada entregue","Em andamento")))</f>
        <v>Sem lançamento</v>
      </c>
      <c r="K14" s="10"/>
    </row>
    <row r="15" customFormat="false" ht="15" hidden="false" customHeight="false" outlineLevel="0" collapsed="false">
      <c r="A15" s="11" t="s">
        <v>32</v>
      </c>
      <c r="B15" s="12" t="s">
        <v>33</v>
      </c>
      <c r="C15" s="7"/>
      <c r="D15" s="7"/>
      <c r="E15" s="7"/>
      <c r="F15" s="7"/>
      <c r="G15" s="7"/>
      <c r="H15" s="13" t="n">
        <f aca="false">COUNTIF(C15:G15,"Entregue")+COUNTIF(C15:G15,"Parcial")*0.5</f>
        <v>0</v>
      </c>
      <c r="I15" s="14" t="n">
        <f aca="false">H15/5</f>
        <v>0</v>
      </c>
      <c r="J15" s="11" t="str">
        <f aca="false">IF(COUNTA(C15:G15)=0,"Sem lançamento",IF(H15=5,"Completo",IF(H15=0,"Nada entregue","Em andamento")))</f>
        <v>Sem lançamento</v>
      </c>
      <c r="K15" s="15"/>
    </row>
    <row r="16" customFormat="false" ht="15" hidden="false" customHeight="false" outlineLevel="0" collapsed="false">
      <c r="A16" s="5" t="s">
        <v>34</v>
      </c>
      <c r="B16" s="6" t="s">
        <v>35</v>
      </c>
      <c r="C16" s="7"/>
      <c r="D16" s="7"/>
      <c r="E16" s="7"/>
      <c r="F16" s="7"/>
      <c r="G16" s="7"/>
      <c r="H16" s="8" t="n">
        <f aca="false">COUNTIF(C16:G16,"Entregue")+COUNTIF(C16:G16,"Parcial")*0.5</f>
        <v>0</v>
      </c>
      <c r="I16" s="9" t="n">
        <f aca="false">H16/5</f>
        <v>0</v>
      </c>
      <c r="J16" s="5" t="str">
        <f aca="false">IF(COUNTA(C16:G16)=0,"Sem lançamento",IF(H16=5,"Completo",IF(H16=0,"Nada entregue","Em andamento")))</f>
        <v>Sem lançamento</v>
      </c>
      <c r="K16" s="10"/>
    </row>
    <row r="17" customFormat="false" ht="15" hidden="false" customHeight="false" outlineLevel="0" collapsed="false">
      <c r="A17" s="11" t="s">
        <v>36</v>
      </c>
      <c r="B17" s="12" t="s">
        <v>37</v>
      </c>
      <c r="C17" s="7"/>
      <c r="D17" s="7"/>
      <c r="E17" s="7"/>
      <c r="F17" s="7"/>
      <c r="G17" s="7"/>
      <c r="H17" s="13" t="n">
        <f aca="false">COUNTIF(C17:G17,"Entregue")+COUNTIF(C17:G17,"Parcial")*0.5</f>
        <v>0</v>
      </c>
      <c r="I17" s="14" t="n">
        <f aca="false">H17/5</f>
        <v>0</v>
      </c>
      <c r="J17" s="11" t="str">
        <f aca="false">IF(COUNTA(C17:G17)=0,"Sem lançamento",IF(H17=5,"Completo",IF(H17=0,"Nada entregue","Em andamento")))</f>
        <v>Sem lançamento</v>
      </c>
      <c r="K17" s="15"/>
    </row>
    <row r="18" customFormat="false" ht="15" hidden="false" customHeight="false" outlineLevel="0" collapsed="false">
      <c r="A18" s="5" t="s">
        <v>38</v>
      </c>
      <c r="B18" s="6" t="s">
        <v>39</v>
      </c>
      <c r="C18" s="7"/>
      <c r="D18" s="7"/>
      <c r="E18" s="7"/>
      <c r="F18" s="7"/>
      <c r="G18" s="7"/>
      <c r="H18" s="8" t="n">
        <f aca="false">COUNTIF(C18:G18,"Entregue")+COUNTIF(C18:G18,"Parcial")*0.5</f>
        <v>0</v>
      </c>
      <c r="I18" s="9" t="n">
        <f aca="false">H18/5</f>
        <v>0</v>
      </c>
      <c r="J18" s="5" t="str">
        <f aca="false">IF(COUNTA(C18:G18)=0,"Sem lançamento",IF(H18=5,"Completo",IF(H18=0,"Nada entregue","Em andamento")))</f>
        <v>Sem lançamento</v>
      </c>
      <c r="K18" s="10"/>
    </row>
    <row r="19" customFormat="false" ht="15" hidden="false" customHeight="false" outlineLevel="0" collapsed="false">
      <c r="A19" s="11" t="s">
        <v>40</v>
      </c>
      <c r="B19" s="12" t="s">
        <v>41</v>
      </c>
      <c r="C19" s="7"/>
      <c r="D19" s="7"/>
      <c r="E19" s="7"/>
      <c r="F19" s="7"/>
      <c r="G19" s="7"/>
      <c r="H19" s="13" t="n">
        <f aca="false">COUNTIF(C19:G19,"Entregue")+COUNTIF(C19:G19,"Parcial")*0.5</f>
        <v>0</v>
      </c>
      <c r="I19" s="14" t="n">
        <f aca="false">H19/5</f>
        <v>0</v>
      </c>
      <c r="J19" s="11" t="str">
        <f aca="false">IF(COUNTA(C19:G19)=0,"Sem lançamento",IF(H19=5,"Completo",IF(H19=0,"Nada entregue","Em andamento")))</f>
        <v>Sem lançamento</v>
      </c>
      <c r="K19" s="15"/>
    </row>
    <row r="20" customFormat="false" ht="15" hidden="false" customHeight="false" outlineLevel="0" collapsed="false">
      <c r="A20" s="5" t="s">
        <v>42</v>
      </c>
      <c r="B20" s="6" t="s">
        <v>43</v>
      </c>
      <c r="C20" s="7"/>
      <c r="D20" s="7"/>
      <c r="E20" s="7"/>
      <c r="F20" s="7"/>
      <c r="G20" s="7"/>
      <c r="H20" s="8" t="n">
        <f aca="false">COUNTIF(C20:G20,"Entregue")+COUNTIF(C20:G20,"Parcial")*0.5</f>
        <v>0</v>
      </c>
      <c r="I20" s="9" t="n">
        <f aca="false">H20/5</f>
        <v>0</v>
      </c>
      <c r="J20" s="5" t="str">
        <f aca="false">IF(COUNTA(C20:G20)=0,"Sem lançamento",IF(H20=5,"Completo",IF(H20=0,"Nada entregue","Em andamento")))</f>
        <v>Sem lançamento</v>
      </c>
      <c r="K20" s="10"/>
    </row>
    <row r="21" customFormat="false" ht="15" hidden="false" customHeight="false" outlineLevel="0" collapsed="false">
      <c r="A21" s="11" t="s">
        <v>44</v>
      </c>
      <c r="B21" s="12" t="s">
        <v>45</v>
      </c>
      <c r="C21" s="7"/>
      <c r="D21" s="7"/>
      <c r="E21" s="7"/>
      <c r="F21" s="7"/>
      <c r="G21" s="7"/>
      <c r="H21" s="13" t="n">
        <f aca="false">COUNTIF(C21:G21,"Entregue")+COUNTIF(C21:G21,"Parcial")*0.5</f>
        <v>0</v>
      </c>
      <c r="I21" s="14" t="n">
        <f aca="false">H21/5</f>
        <v>0</v>
      </c>
      <c r="J21" s="11" t="str">
        <f aca="false">IF(COUNTA(C21:G21)=0,"Sem lançamento",IF(H21=5,"Completo",IF(H21=0,"Nada entregue","Em andamento")))</f>
        <v>Sem lançamento</v>
      </c>
      <c r="K21" s="15"/>
    </row>
    <row r="22" customFormat="false" ht="15" hidden="false" customHeight="false" outlineLevel="0" collapsed="false">
      <c r="A22" s="5" t="s">
        <v>46</v>
      </c>
      <c r="B22" s="6" t="s">
        <v>47</v>
      </c>
      <c r="C22" s="7"/>
      <c r="D22" s="7"/>
      <c r="E22" s="7"/>
      <c r="F22" s="7"/>
      <c r="G22" s="7"/>
      <c r="H22" s="8" t="n">
        <f aca="false">COUNTIF(C22:G22,"Entregue")+COUNTIF(C22:G22,"Parcial")*0.5</f>
        <v>0</v>
      </c>
      <c r="I22" s="9" t="n">
        <f aca="false">H22/5</f>
        <v>0</v>
      </c>
      <c r="J22" s="5" t="str">
        <f aca="false">IF(COUNTA(C22:G22)=0,"Sem lançamento",IF(H22=5,"Completo",IF(H22=0,"Nada entregue","Em andamento")))</f>
        <v>Sem lançamento</v>
      </c>
      <c r="K22" s="10"/>
    </row>
    <row r="23" customFormat="false" ht="15" hidden="false" customHeight="false" outlineLevel="0" collapsed="false">
      <c r="A23" s="11" t="s">
        <v>48</v>
      </c>
      <c r="B23" s="12" t="s">
        <v>49</v>
      </c>
      <c r="C23" s="7"/>
      <c r="D23" s="7"/>
      <c r="E23" s="7"/>
      <c r="F23" s="7"/>
      <c r="G23" s="7"/>
      <c r="H23" s="13" t="n">
        <f aca="false">COUNTIF(C23:G23,"Entregue")+COUNTIF(C23:G23,"Parcial")*0.5</f>
        <v>0</v>
      </c>
      <c r="I23" s="14" t="n">
        <f aca="false">H23/5</f>
        <v>0</v>
      </c>
      <c r="J23" s="11" t="str">
        <f aca="false">IF(COUNTA(C23:G23)=0,"Sem lançamento",IF(H23=5,"Completo",IF(H23=0,"Nada entregue","Em andamento")))</f>
        <v>Sem lançamento</v>
      </c>
      <c r="K23" s="15"/>
    </row>
    <row r="24" customFormat="false" ht="15" hidden="false" customHeight="false" outlineLevel="0" collapsed="false">
      <c r="A24" s="5" t="s">
        <v>50</v>
      </c>
      <c r="B24" s="6" t="s">
        <v>51</v>
      </c>
      <c r="C24" s="7"/>
      <c r="D24" s="7"/>
      <c r="E24" s="7"/>
      <c r="F24" s="7"/>
      <c r="G24" s="7"/>
      <c r="H24" s="8" t="n">
        <f aca="false">COUNTIF(C24:G24,"Entregue")+COUNTIF(C24:G24,"Parcial")*0.5</f>
        <v>0</v>
      </c>
      <c r="I24" s="9" t="n">
        <f aca="false">H24/5</f>
        <v>0</v>
      </c>
      <c r="J24" s="5" t="str">
        <f aca="false">IF(COUNTA(C24:G24)=0,"Sem lançamento",IF(H24=5,"Completo",IF(H24=0,"Nada entregue","Em andamento")))</f>
        <v>Sem lançamento</v>
      </c>
      <c r="K24" s="10"/>
    </row>
    <row r="25" customFormat="false" ht="15" hidden="false" customHeight="false" outlineLevel="0" collapsed="false">
      <c r="A25" s="11" t="s">
        <v>52</v>
      </c>
      <c r="B25" s="12" t="s">
        <v>53</v>
      </c>
      <c r="C25" s="7"/>
      <c r="D25" s="7"/>
      <c r="E25" s="7"/>
      <c r="F25" s="7"/>
      <c r="G25" s="7"/>
      <c r="H25" s="13" t="n">
        <f aca="false">COUNTIF(C25:G25,"Entregue")+COUNTIF(C25:G25,"Parcial")*0.5</f>
        <v>0</v>
      </c>
      <c r="I25" s="14" t="n">
        <f aca="false">H25/5</f>
        <v>0</v>
      </c>
      <c r="J25" s="11" t="str">
        <f aca="false">IF(COUNTA(C25:G25)=0,"Sem lançamento",IF(H25=5,"Completo",IF(H25=0,"Nada entregue","Em andamento")))</f>
        <v>Sem lançamento</v>
      </c>
      <c r="K25" s="15"/>
    </row>
    <row r="26" customFormat="false" ht="15" hidden="false" customHeight="false" outlineLevel="0" collapsed="false">
      <c r="A26" s="5" t="s">
        <v>54</v>
      </c>
      <c r="B26" s="6" t="s">
        <v>55</v>
      </c>
      <c r="C26" s="7"/>
      <c r="D26" s="7"/>
      <c r="E26" s="7"/>
      <c r="F26" s="7"/>
      <c r="G26" s="7"/>
      <c r="H26" s="8" t="n">
        <f aca="false">COUNTIF(C26:G26,"Entregue")+COUNTIF(C26:G26,"Parcial")*0.5</f>
        <v>0</v>
      </c>
      <c r="I26" s="9" t="n">
        <f aca="false">H26/5</f>
        <v>0</v>
      </c>
      <c r="J26" s="5" t="str">
        <f aca="false">IF(COUNTA(C26:G26)=0,"Sem lançamento",IF(H26=5,"Completo",IF(H26=0,"Nada entregue","Em andamento")))</f>
        <v>Sem lançamento</v>
      </c>
      <c r="K26" s="10"/>
    </row>
    <row r="27" customFormat="false" ht="15" hidden="false" customHeight="false" outlineLevel="0" collapsed="false">
      <c r="A27" s="11" t="s">
        <v>56</v>
      </c>
      <c r="B27" s="12" t="s">
        <v>57</v>
      </c>
      <c r="C27" s="7"/>
      <c r="D27" s="7"/>
      <c r="E27" s="7"/>
      <c r="F27" s="7"/>
      <c r="G27" s="7"/>
      <c r="H27" s="13" t="n">
        <f aca="false">COUNTIF(C27:G27,"Entregue")+COUNTIF(C27:G27,"Parcial")*0.5</f>
        <v>0</v>
      </c>
      <c r="I27" s="14" t="n">
        <f aca="false">H27/5</f>
        <v>0</v>
      </c>
      <c r="J27" s="11" t="str">
        <f aca="false">IF(COUNTA(C27:G27)=0,"Sem lançamento",IF(H27=5,"Completo",IF(H27=0,"Nada entregue","Em andamento")))</f>
        <v>Sem lançamento</v>
      </c>
      <c r="K27" s="15"/>
    </row>
    <row r="28" customFormat="false" ht="15" hidden="false" customHeight="false" outlineLevel="0" collapsed="false">
      <c r="A28" s="5" t="s">
        <v>58</v>
      </c>
      <c r="B28" s="6" t="s">
        <v>59</v>
      </c>
      <c r="C28" s="7"/>
      <c r="D28" s="7"/>
      <c r="E28" s="7"/>
      <c r="F28" s="7"/>
      <c r="G28" s="7"/>
      <c r="H28" s="8" t="n">
        <f aca="false">COUNTIF(C28:G28,"Entregue")+COUNTIF(C28:G28,"Parcial")*0.5</f>
        <v>0</v>
      </c>
      <c r="I28" s="9" t="n">
        <f aca="false">H28/5</f>
        <v>0</v>
      </c>
      <c r="J28" s="5" t="str">
        <f aca="false">IF(COUNTA(C28:G28)=0,"Sem lançamento",IF(H28=5,"Completo",IF(H28=0,"Nada entregue","Em andamento")))</f>
        <v>Sem lançamento</v>
      </c>
      <c r="K28" s="10"/>
    </row>
    <row r="29" customFormat="false" ht="15" hidden="false" customHeight="false" outlineLevel="0" collapsed="false">
      <c r="A29" s="11" t="s">
        <v>60</v>
      </c>
      <c r="B29" s="12" t="s">
        <v>61</v>
      </c>
      <c r="C29" s="7"/>
      <c r="D29" s="7"/>
      <c r="E29" s="7"/>
      <c r="F29" s="7"/>
      <c r="G29" s="7"/>
      <c r="H29" s="13" t="n">
        <f aca="false">COUNTIF(C29:G29,"Entregue")+COUNTIF(C29:G29,"Parcial")*0.5</f>
        <v>0</v>
      </c>
      <c r="I29" s="14" t="n">
        <f aca="false">H29/5</f>
        <v>0</v>
      </c>
      <c r="J29" s="11" t="str">
        <f aca="false">IF(COUNTA(C29:G29)=0,"Sem lançamento",IF(H29=5,"Completo",IF(H29=0,"Nada entregue","Em andamento")))</f>
        <v>Sem lançamento</v>
      </c>
      <c r="K29" s="15"/>
    </row>
    <row r="30" customFormat="false" ht="15" hidden="false" customHeight="false" outlineLevel="0" collapsed="false">
      <c r="A30" s="5" t="s">
        <v>62</v>
      </c>
      <c r="B30" s="6" t="s">
        <v>63</v>
      </c>
      <c r="C30" s="7"/>
      <c r="D30" s="7"/>
      <c r="E30" s="7"/>
      <c r="F30" s="7"/>
      <c r="G30" s="7"/>
      <c r="H30" s="8" t="n">
        <f aca="false">COUNTIF(C30:G30,"Entregue")+COUNTIF(C30:G30,"Parcial")*0.5</f>
        <v>0</v>
      </c>
      <c r="I30" s="9" t="n">
        <f aca="false">H30/5</f>
        <v>0</v>
      </c>
      <c r="J30" s="5" t="str">
        <f aca="false">IF(COUNTA(C30:G30)=0,"Sem lançamento",IF(H30=5,"Completo",IF(H30=0,"Nada entregue","Em andamento")))</f>
        <v>Sem lançamento</v>
      </c>
      <c r="K30" s="10"/>
    </row>
    <row r="31" customFormat="false" ht="15" hidden="false" customHeight="false" outlineLevel="0" collapsed="false">
      <c r="A31" s="11" t="s">
        <v>64</v>
      </c>
      <c r="B31" s="12" t="s">
        <v>65</v>
      </c>
      <c r="C31" s="7"/>
      <c r="D31" s="7"/>
      <c r="E31" s="7"/>
      <c r="F31" s="7"/>
      <c r="G31" s="7"/>
      <c r="H31" s="13" t="n">
        <f aca="false">COUNTIF(C31:G31,"Entregue")+COUNTIF(C31:G31,"Parcial")*0.5</f>
        <v>0</v>
      </c>
      <c r="I31" s="14" t="n">
        <f aca="false">H31/5</f>
        <v>0</v>
      </c>
      <c r="J31" s="11" t="str">
        <f aca="false">IF(COUNTA(C31:G31)=0,"Sem lançamento",IF(H31=5,"Completo",IF(H31=0,"Nada entregue","Em andamento")))</f>
        <v>Sem lançamento</v>
      </c>
      <c r="K31" s="15"/>
    </row>
    <row r="32" customFormat="false" ht="15" hidden="false" customHeight="false" outlineLevel="0" collapsed="false">
      <c r="A32" s="5" t="s">
        <v>66</v>
      </c>
      <c r="B32" s="6" t="s">
        <v>67</v>
      </c>
      <c r="C32" s="7"/>
      <c r="D32" s="7"/>
      <c r="E32" s="7"/>
      <c r="F32" s="7"/>
      <c r="G32" s="7"/>
      <c r="H32" s="8" t="n">
        <f aca="false">COUNTIF(C32:G32,"Entregue")+COUNTIF(C32:G32,"Parcial")*0.5</f>
        <v>0</v>
      </c>
      <c r="I32" s="9" t="n">
        <f aca="false">H32/5</f>
        <v>0</v>
      </c>
      <c r="J32" s="5" t="str">
        <f aca="false">IF(COUNTA(C32:G32)=0,"Sem lançamento",IF(H32=5,"Completo",IF(H32=0,"Nada entregue","Em andamento")))</f>
        <v>Sem lançamento</v>
      </c>
      <c r="K32" s="10"/>
    </row>
    <row r="33" customFormat="false" ht="15" hidden="false" customHeight="false" outlineLevel="0" collapsed="false">
      <c r="A33" s="11" t="s">
        <v>68</v>
      </c>
      <c r="B33" s="12" t="s">
        <v>69</v>
      </c>
      <c r="C33" s="7"/>
      <c r="D33" s="7"/>
      <c r="E33" s="7"/>
      <c r="F33" s="7"/>
      <c r="G33" s="7"/>
      <c r="H33" s="13" t="n">
        <f aca="false">COUNTIF(C33:G33,"Entregue")+COUNTIF(C33:G33,"Parcial")*0.5</f>
        <v>0</v>
      </c>
      <c r="I33" s="14" t="n">
        <f aca="false">H33/5</f>
        <v>0</v>
      </c>
      <c r="J33" s="11" t="str">
        <f aca="false">IF(COUNTA(C33:G33)=0,"Sem lançamento",IF(H33=5,"Completo",IF(H33=0,"Nada entregue","Em andamento")))</f>
        <v>Sem lançamento</v>
      </c>
      <c r="K33" s="15"/>
    </row>
    <row r="34" customFormat="false" ht="15" hidden="false" customHeight="false" outlineLevel="0" collapsed="false">
      <c r="A34" s="5" t="s">
        <v>70</v>
      </c>
      <c r="B34" s="6" t="s">
        <v>71</v>
      </c>
      <c r="C34" s="7"/>
      <c r="D34" s="7"/>
      <c r="E34" s="7"/>
      <c r="F34" s="7"/>
      <c r="G34" s="7"/>
      <c r="H34" s="8" t="n">
        <f aca="false">COUNTIF(C34:G34,"Entregue")+COUNTIF(C34:G34,"Parcial")*0.5</f>
        <v>0</v>
      </c>
      <c r="I34" s="9" t="n">
        <f aca="false">H34/5</f>
        <v>0</v>
      </c>
      <c r="J34" s="5" t="str">
        <f aca="false">IF(COUNTA(C34:G34)=0,"Sem lançamento",IF(H34=5,"Completo",IF(H34=0,"Nada entregue","Em andamento")))</f>
        <v>Sem lançamento</v>
      </c>
      <c r="K34" s="10"/>
    </row>
    <row r="35" customFormat="false" ht="15" hidden="false" customHeight="false" outlineLevel="0" collapsed="false">
      <c r="A35" s="11" t="s">
        <v>72</v>
      </c>
      <c r="B35" s="12" t="s">
        <v>73</v>
      </c>
      <c r="C35" s="7"/>
      <c r="D35" s="7"/>
      <c r="E35" s="7"/>
      <c r="F35" s="7"/>
      <c r="G35" s="7"/>
      <c r="H35" s="13" t="n">
        <f aca="false">COUNTIF(C35:G35,"Entregue")+COUNTIF(C35:G35,"Parcial")*0.5</f>
        <v>0</v>
      </c>
      <c r="I35" s="14" t="n">
        <f aca="false">H35/5</f>
        <v>0</v>
      </c>
      <c r="J35" s="11" t="str">
        <f aca="false">IF(COUNTA(C35:G35)=0,"Sem lançamento",IF(H35=5,"Completo",IF(H35=0,"Nada entregue","Em andamento")))</f>
        <v>Sem lançamento</v>
      </c>
      <c r="K35" s="15"/>
    </row>
    <row r="36" customFormat="false" ht="15" hidden="false" customHeight="false" outlineLevel="0" collapsed="false">
      <c r="A36" s="5" t="s">
        <v>74</v>
      </c>
      <c r="B36" s="6" t="s">
        <v>75</v>
      </c>
      <c r="C36" s="7"/>
      <c r="D36" s="7"/>
      <c r="E36" s="7"/>
      <c r="F36" s="7"/>
      <c r="G36" s="7"/>
      <c r="H36" s="8" t="n">
        <f aca="false">COUNTIF(C36:G36,"Entregue")+COUNTIF(C36:G36,"Parcial")*0.5</f>
        <v>0</v>
      </c>
      <c r="I36" s="9" t="n">
        <f aca="false">H36/5</f>
        <v>0</v>
      </c>
      <c r="J36" s="5" t="str">
        <f aca="false">IF(COUNTA(C36:G36)=0,"Sem lançamento",IF(H36=5,"Completo",IF(H36=0,"Nada entregue","Em andamento")))</f>
        <v>Sem lançamento</v>
      </c>
      <c r="K36" s="10"/>
    </row>
    <row r="37" customFormat="false" ht="15" hidden="false" customHeight="false" outlineLevel="0" collapsed="false">
      <c r="A37" s="11" t="s">
        <v>76</v>
      </c>
      <c r="B37" s="12" t="s">
        <v>77</v>
      </c>
      <c r="C37" s="7"/>
      <c r="D37" s="7"/>
      <c r="E37" s="7"/>
      <c r="F37" s="7"/>
      <c r="G37" s="7"/>
      <c r="H37" s="13" t="n">
        <f aca="false">COUNTIF(C37:G37,"Entregue")+COUNTIF(C37:G37,"Parcial")*0.5</f>
        <v>0</v>
      </c>
      <c r="I37" s="14" t="n">
        <f aca="false">H37/5</f>
        <v>0</v>
      </c>
      <c r="J37" s="11" t="str">
        <f aca="false">IF(COUNTA(C37:G37)=0,"Sem lançamento",IF(H37=5,"Completo",IF(H37=0,"Nada entregue","Em andamento")))</f>
        <v>Sem lançamento</v>
      </c>
      <c r="K37" s="15"/>
    </row>
    <row r="38" customFormat="false" ht="15" hidden="false" customHeight="false" outlineLevel="0" collapsed="false">
      <c r="A38" s="5" t="s">
        <v>78</v>
      </c>
      <c r="B38" s="6" t="s">
        <v>79</v>
      </c>
      <c r="C38" s="7"/>
      <c r="D38" s="7"/>
      <c r="E38" s="7"/>
      <c r="F38" s="7"/>
      <c r="G38" s="7"/>
      <c r="H38" s="8" t="n">
        <f aca="false">COUNTIF(C38:G38,"Entregue")+COUNTIF(C38:G38,"Parcial")*0.5</f>
        <v>0</v>
      </c>
      <c r="I38" s="9" t="n">
        <f aca="false">H38/5</f>
        <v>0</v>
      </c>
      <c r="J38" s="5" t="str">
        <f aca="false">IF(COUNTA(C38:G38)=0,"Sem lançamento",IF(H38=5,"Completo",IF(H38=0,"Nada entregue","Em andamento")))</f>
        <v>Sem lançamento</v>
      </c>
      <c r="K38" s="10"/>
    </row>
    <row r="39" customFormat="false" ht="15" hidden="false" customHeight="false" outlineLevel="0" collapsed="false">
      <c r="A39" s="11" t="s">
        <v>80</v>
      </c>
      <c r="B39" s="12" t="s">
        <v>81</v>
      </c>
      <c r="C39" s="7"/>
      <c r="D39" s="7"/>
      <c r="E39" s="7"/>
      <c r="F39" s="7"/>
      <c r="G39" s="7"/>
      <c r="H39" s="13" t="n">
        <f aca="false">COUNTIF(C39:G39,"Entregue")+COUNTIF(C39:G39,"Parcial")*0.5</f>
        <v>0</v>
      </c>
      <c r="I39" s="14" t="n">
        <f aca="false">H39/5</f>
        <v>0</v>
      </c>
      <c r="J39" s="11" t="str">
        <f aca="false">IF(COUNTA(C39:G39)=0,"Sem lançamento",IF(H39=5,"Completo",IF(H39=0,"Nada entregue","Em andamento")))</f>
        <v>Sem lançamento</v>
      </c>
      <c r="K39" s="15"/>
    </row>
    <row r="40" customFormat="false" ht="15" hidden="false" customHeight="false" outlineLevel="0" collapsed="false">
      <c r="A40" s="5" t="s">
        <v>82</v>
      </c>
      <c r="B40" s="6" t="s">
        <v>83</v>
      </c>
      <c r="C40" s="7"/>
      <c r="D40" s="7"/>
      <c r="E40" s="7"/>
      <c r="F40" s="7"/>
      <c r="G40" s="7"/>
      <c r="H40" s="8" t="n">
        <f aca="false">COUNTIF(C40:G40,"Entregue")+COUNTIF(C40:G40,"Parcial")*0.5</f>
        <v>0</v>
      </c>
      <c r="I40" s="9" t="n">
        <f aca="false">H40/5</f>
        <v>0</v>
      </c>
      <c r="J40" s="5" t="str">
        <f aca="false">IF(COUNTA(C40:G40)=0,"Sem lançamento",IF(H40=5,"Completo",IF(H40=0,"Nada entregue","Em andamento")))</f>
        <v>Sem lançamento</v>
      </c>
      <c r="K40" s="10"/>
    </row>
    <row r="41" customFormat="false" ht="15" hidden="false" customHeight="false" outlineLevel="0" collapsed="false">
      <c r="A41" s="11" t="s">
        <v>84</v>
      </c>
      <c r="B41" s="12" t="s">
        <v>85</v>
      </c>
      <c r="C41" s="7"/>
      <c r="D41" s="7"/>
      <c r="E41" s="7"/>
      <c r="F41" s="7"/>
      <c r="G41" s="7"/>
      <c r="H41" s="13" t="n">
        <f aca="false">COUNTIF(C41:G41,"Entregue")+COUNTIF(C41:G41,"Parcial")*0.5</f>
        <v>0</v>
      </c>
      <c r="I41" s="14" t="n">
        <f aca="false">H41/5</f>
        <v>0</v>
      </c>
      <c r="J41" s="11" t="str">
        <f aca="false">IF(COUNTA(C41:G41)=0,"Sem lançamento",IF(H41=5,"Completo",IF(H41=0,"Nada entregue","Em andamento")))</f>
        <v>Sem lançamento</v>
      </c>
      <c r="K41" s="15"/>
    </row>
    <row r="42" customFormat="false" ht="15" hidden="false" customHeight="false" outlineLevel="0" collapsed="false">
      <c r="A42" s="5" t="s">
        <v>86</v>
      </c>
      <c r="B42" s="6" t="s">
        <v>87</v>
      </c>
      <c r="C42" s="7"/>
      <c r="D42" s="7"/>
      <c r="E42" s="7"/>
      <c r="F42" s="7"/>
      <c r="G42" s="7"/>
      <c r="H42" s="8" t="n">
        <f aca="false">COUNTIF(C42:G42,"Entregue")+COUNTIF(C42:G42,"Parcial")*0.5</f>
        <v>0</v>
      </c>
      <c r="I42" s="9" t="n">
        <f aca="false">H42/5</f>
        <v>0</v>
      </c>
      <c r="J42" s="5" t="str">
        <f aca="false">IF(COUNTA(C42:G42)=0,"Sem lançamento",IF(H42=5,"Completo",IF(H42=0,"Nada entregue","Em andamento")))</f>
        <v>Sem lançamento</v>
      </c>
      <c r="K42" s="10"/>
    </row>
    <row r="43" customFormat="false" ht="15" hidden="false" customHeight="false" outlineLevel="0" collapsed="false">
      <c r="A43" s="11" t="s">
        <v>88</v>
      </c>
      <c r="B43" s="12" t="s">
        <v>89</v>
      </c>
      <c r="C43" s="7"/>
      <c r="D43" s="7"/>
      <c r="E43" s="7"/>
      <c r="F43" s="7"/>
      <c r="G43" s="7"/>
      <c r="H43" s="13" t="n">
        <f aca="false">COUNTIF(C43:G43,"Entregue")+COUNTIF(C43:G43,"Parcial")*0.5</f>
        <v>0</v>
      </c>
      <c r="I43" s="14" t="n">
        <f aca="false">H43/5</f>
        <v>0</v>
      </c>
      <c r="J43" s="11" t="str">
        <f aca="false">IF(COUNTA(C43:G43)=0,"Sem lançamento",IF(H43=5,"Completo",IF(H43=0,"Nada entregue","Em andamento")))</f>
        <v>Sem lançamento</v>
      </c>
      <c r="K43" s="15"/>
    </row>
    <row r="44" customFormat="false" ht="15" hidden="false" customHeight="false" outlineLevel="0" collapsed="false">
      <c r="A44" s="5" t="s">
        <v>90</v>
      </c>
      <c r="B44" s="6" t="s">
        <v>91</v>
      </c>
      <c r="C44" s="7"/>
      <c r="D44" s="7"/>
      <c r="E44" s="7"/>
      <c r="F44" s="7"/>
      <c r="G44" s="7"/>
      <c r="H44" s="8" t="n">
        <f aca="false">COUNTIF(C44:G44,"Entregue")+COUNTIF(C44:G44,"Parcial")*0.5</f>
        <v>0</v>
      </c>
      <c r="I44" s="9" t="n">
        <f aca="false">H44/5</f>
        <v>0</v>
      </c>
      <c r="J44" s="5" t="str">
        <f aca="false">IF(COUNTA(C44:G44)=0,"Sem lançamento",IF(H44=5,"Completo",IF(H44=0,"Nada entregue","Em andamento")))</f>
        <v>Sem lançamento</v>
      </c>
      <c r="K44" s="10"/>
    </row>
    <row r="45" customFormat="false" ht="15" hidden="false" customHeight="false" outlineLevel="0" collapsed="false">
      <c r="A45" s="11" t="s">
        <v>92</v>
      </c>
      <c r="B45" s="12" t="s">
        <v>93</v>
      </c>
      <c r="C45" s="7"/>
      <c r="D45" s="7"/>
      <c r="E45" s="7"/>
      <c r="F45" s="7"/>
      <c r="G45" s="7"/>
      <c r="H45" s="13" t="n">
        <f aca="false">COUNTIF(C45:G45,"Entregue")+COUNTIF(C45:G45,"Parcial")*0.5</f>
        <v>0</v>
      </c>
      <c r="I45" s="14" t="n">
        <f aca="false">H45/5</f>
        <v>0</v>
      </c>
      <c r="J45" s="11" t="str">
        <f aca="false">IF(COUNTA(C45:G45)=0,"Sem lançamento",IF(H45=5,"Completo",IF(H45=0,"Nada entregue","Em andamento")))</f>
        <v>Sem lançamento</v>
      </c>
      <c r="K45" s="15"/>
    </row>
    <row r="46" customFormat="false" ht="15" hidden="false" customHeight="false" outlineLevel="0" collapsed="false">
      <c r="A46" s="5" t="s">
        <v>94</v>
      </c>
      <c r="B46" s="6" t="s">
        <v>95</v>
      </c>
      <c r="C46" s="7"/>
      <c r="D46" s="7"/>
      <c r="E46" s="7"/>
      <c r="F46" s="7"/>
      <c r="G46" s="7"/>
      <c r="H46" s="8" t="n">
        <f aca="false">COUNTIF(C46:G46,"Entregue")+COUNTIF(C46:G46,"Parcial")*0.5</f>
        <v>0</v>
      </c>
      <c r="I46" s="9" t="n">
        <f aca="false">H46/5</f>
        <v>0</v>
      </c>
      <c r="J46" s="5" t="str">
        <f aca="false">IF(COUNTA(C46:G46)=0,"Sem lançamento",IF(H46=5,"Completo",IF(H46=0,"Nada entregue","Em andamento")))</f>
        <v>Sem lançamento</v>
      </c>
      <c r="K46" s="10"/>
    </row>
    <row r="47" customFormat="false" ht="15" hidden="false" customHeight="false" outlineLevel="0" collapsed="false">
      <c r="A47" s="11" t="s">
        <v>96</v>
      </c>
      <c r="B47" s="12" t="s">
        <v>97</v>
      </c>
      <c r="C47" s="7"/>
      <c r="D47" s="7"/>
      <c r="E47" s="7"/>
      <c r="F47" s="7"/>
      <c r="G47" s="7"/>
      <c r="H47" s="13" t="n">
        <f aca="false">COUNTIF(C47:G47,"Entregue")+COUNTIF(C47:G47,"Parcial")*0.5</f>
        <v>0</v>
      </c>
      <c r="I47" s="14" t="n">
        <f aca="false">H47/5</f>
        <v>0</v>
      </c>
      <c r="J47" s="11" t="str">
        <f aca="false">IF(COUNTA(C47:G47)=0,"Sem lançamento",IF(H47=5,"Completo",IF(H47=0,"Nada entregue","Em andamento")))</f>
        <v>Sem lançamento</v>
      </c>
      <c r="K47" s="15"/>
    </row>
    <row r="48" customFormat="false" ht="15" hidden="false" customHeight="false" outlineLevel="0" collapsed="false">
      <c r="A48" s="5" t="s">
        <v>98</v>
      </c>
      <c r="B48" s="6" t="s">
        <v>99</v>
      </c>
      <c r="C48" s="7"/>
      <c r="D48" s="7"/>
      <c r="E48" s="7"/>
      <c r="F48" s="7"/>
      <c r="G48" s="7"/>
      <c r="H48" s="8" t="n">
        <f aca="false">COUNTIF(C48:G48,"Entregue")+COUNTIF(C48:G48,"Parcial")*0.5</f>
        <v>0</v>
      </c>
      <c r="I48" s="9" t="n">
        <f aca="false">H48/5</f>
        <v>0</v>
      </c>
      <c r="J48" s="5" t="str">
        <f aca="false">IF(COUNTA(C48:G48)=0,"Sem lançamento",IF(H48=5,"Completo",IF(H48=0,"Nada entregue","Em andamento")))</f>
        <v>Sem lançamento</v>
      </c>
      <c r="K48" s="10"/>
    </row>
    <row r="49" customFormat="false" ht="15" hidden="false" customHeight="false" outlineLevel="0" collapsed="false">
      <c r="A49" s="11" t="s">
        <v>100</v>
      </c>
      <c r="B49" s="12" t="s">
        <v>101</v>
      </c>
      <c r="C49" s="7"/>
      <c r="D49" s="7"/>
      <c r="E49" s="7"/>
      <c r="F49" s="7"/>
      <c r="G49" s="7"/>
      <c r="H49" s="13" t="n">
        <f aca="false">COUNTIF(C49:G49,"Entregue")+COUNTIF(C49:G49,"Parcial")*0.5</f>
        <v>0</v>
      </c>
      <c r="I49" s="14" t="n">
        <f aca="false">H49/5</f>
        <v>0</v>
      </c>
      <c r="J49" s="11" t="str">
        <f aca="false">IF(COUNTA(C49:G49)=0,"Sem lançamento",IF(H49=5,"Completo",IF(H49=0,"Nada entregue","Em andamento")))</f>
        <v>Sem lançamento</v>
      </c>
      <c r="K49" s="15"/>
    </row>
    <row r="50" customFormat="false" ht="15" hidden="false" customHeight="false" outlineLevel="0" collapsed="false">
      <c r="A50" s="5" t="s">
        <v>102</v>
      </c>
      <c r="B50" s="6" t="s">
        <v>103</v>
      </c>
      <c r="C50" s="7"/>
      <c r="D50" s="7"/>
      <c r="E50" s="7"/>
      <c r="F50" s="7"/>
      <c r="G50" s="7"/>
      <c r="H50" s="8" t="n">
        <f aca="false">COUNTIF(C50:G50,"Entregue")+COUNTIF(C50:G50,"Parcial")*0.5</f>
        <v>0</v>
      </c>
      <c r="I50" s="9" t="n">
        <f aca="false">H50/5</f>
        <v>0</v>
      </c>
      <c r="J50" s="5" t="str">
        <f aca="false">IF(COUNTA(C50:G50)=0,"Sem lançamento",IF(H50=5,"Completo",IF(H50=0,"Nada entregue","Em andamento")))</f>
        <v>Sem lançamento</v>
      </c>
      <c r="K50" s="10"/>
    </row>
    <row r="51" customFormat="false" ht="15" hidden="false" customHeight="false" outlineLevel="0" collapsed="false">
      <c r="A51" s="11" t="s">
        <v>104</v>
      </c>
      <c r="B51" s="12" t="s">
        <v>105</v>
      </c>
      <c r="C51" s="7"/>
      <c r="D51" s="7"/>
      <c r="E51" s="7"/>
      <c r="F51" s="7"/>
      <c r="G51" s="7"/>
      <c r="H51" s="13" t="n">
        <f aca="false">COUNTIF(C51:G51,"Entregue")+COUNTIF(C51:G51,"Parcial")*0.5</f>
        <v>0</v>
      </c>
      <c r="I51" s="14" t="n">
        <f aca="false">H51/5</f>
        <v>0</v>
      </c>
      <c r="J51" s="11" t="str">
        <f aca="false">IF(COUNTA(C51:G51)=0,"Sem lançamento",IF(H51=5,"Completo",IF(H51=0,"Nada entregue","Em andamento")))</f>
        <v>Sem lançamento</v>
      </c>
      <c r="K51" s="15"/>
    </row>
    <row r="52" customFormat="false" ht="15" hidden="false" customHeight="false" outlineLevel="0" collapsed="false">
      <c r="B52" s="16" t="s">
        <v>106</v>
      </c>
    </row>
    <row r="53" customFormat="false" ht="15" hidden="false" customHeight="false" outlineLevel="0" collapsed="false">
      <c r="B53" s="17" t="s">
        <v>107</v>
      </c>
      <c r="C53" s="18" t="n">
        <f aca="false">COUNTA(B6:B51)</f>
        <v>46</v>
      </c>
    </row>
    <row r="54" customFormat="false" ht="15" hidden="false" customHeight="false" outlineLevel="0" collapsed="false">
      <c r="B54" s="17" t="s">
        <v>108</v>
      </c>
      <c r="C54" s="18" t="n">
        <f aca="false">COUNTIF(J6:J51,"Completo")</f>
        <v>0</v>
      </c>
    </row>
    <row r="55" customFormat="false" ht="15" hidden="false" customHeight="false" outlineLevel="0" collapsed="false">
      <c r="B55" s="17" t="s">
        <v>109</v>
      </c>
      <c r="C55" s="18" t="n">
        <f aca="false">COUNTIF(J6:J51,"Em andamento")</f>
        <v>0</v>
      </c>
    </row>
    <row r="56" customFormat="false" ht="15" hidden="false" customHeight="false" outlineLevel="0" collapsed="false">
      <c r="B56" s="17" t="s">
        <v>110</v>
      </c>
      <c r="C56" s="18" t="n">
        <f aca="false">COUNTIF(J6:J51,"Nada entregue")</f>
        <v>0</v>
      </c>
    </row>
    <row r="57" customFormat="false" ht="15" hidden="false" customHeight="false" outlineLevel="0" collapsed="false">
      <c r="B57" s="17" t="s">
        <v>111</v>
      </c>
      <c r="C57" s="18" t="n">
        <f aca="false">COUNTIF(J6:J51,"Sem lançamento")</f>
        <v>46</v>
      </c>
    </row>
    <row r="58" customFormat="false" ht="15" hidden="false" customHeight="false" outlineLevel="0" collapsed="false">
      <c r="B58" s="17" t="s">
        <v>112</v>
      </c>
      <c r="C58" s="19" t="n">
        <f aca="false">ROUND(AVERAGE(H6:H51),2)</f>
        <v>0</v>
      </c>
    </row>
    <row r="59" customFormat="false" ht="15" hidden="false" customHeight="false" outlineLevel="0" collapsed="false">
      <c r="B59" s="17" t="s">
        <v>113</v>
      </c>
      <c r="C59" s="20" t="n">
        <f aca="false">ROUND(AVERAGE(I6:I51),3)</f>
        <v>0</v>
      </c>
    </row>
    <row r="61" customFormat="false" ht="15" hidden="false" customHeight="false" outlineLevel="0" collapsed="false">
      <c r="B61" s="21" t="s">
        <v>114</v>
      </c>
    </row>
  </sheetData>
  <autoFilter ref="A5:K51"/>
  <mergeCells count="3">
    <mergeCell ref="A1:K1"/>
    <mergeCell ref="A2:K2"/>
    <mergeCell ref="A3:K3"/>
  </mergeCells>
  <conditionalFormatting sqref="C6:C51">
    <cfRule type="cellIs" priority="2" operator="equal" aboveAverage="0" equalAverage="0" bottom="0" percent="0" rank="0" text="" dxfId="7">
      <formula>"Entregue"</formula>
    </cfRule>
    <cfRule type="cellIs" priority="3" operator="equal" aboveAverage="0" equalAverage="0" bottom="0" percent="0" rank="0" text="" dxfId="8">
      <formula>"Parcial"</formula>
    </cfRule>
    <cfRule type="cellIs" priority="4" operator="equal" aboveAverage="0" equalAverage="0" bottom="0" percent="0" rank="0" text="" dxfId="9">
      <formula>"Pendente"</formula>
    </cfRule>
  </conditionalFormatting>
  <conditionalFormatting sqref="D6:D51">
    <cfRule type="cellIs" priority="5" operator="equal" aboveAverage="0" equalAverage="0" bottom="0" percent="0" rank="0" text="" dxfId="7">
      <formula>"Entregue"</formula>
    </cfRule>
    <cfRule type="cellIs" priority="6" operator="equal" aboveAverage="0" equalAverage="0" bottom="0" percent="0" rank="0" text="" dxfId="8">
      <formula>"Parcial"</formula>
    </cfRule>
    <cfRule type="cellIs" priority="7" operator="equal" aboveAverage="0" equalAverage="0" bottom="0" percent="0" rank="0" text="" dxfId="9">
      <formula>"Pendente"</formula>
    </cfRule>
  </conditionalFormatting>
  <conditionalFormatting sqref="E6:E51">
    <cfRule type="cellIs" priority="8" operator="equal" aboveAverage="0" equalAverage="0" bottom="0" percent="0" rank="0" text="" dxfId="7">
      <formula>"Entregue"</formula>
    </cfRule>
    <cfRule type="cellIs" priority="9" operator="equal" aboveAverage="0" equalAverage="0" bottom="0" percent="0" rank="0" text="" dxfId="8">
      <formula>"Parcial"</formula>
    </cfRule>
    <cfRule type="cellIs" priority="10" operator="equal" aboveAverage="0" equalAverage="0" bottom="0" percent="0" rank="0" text="" dxfId="9">
      <formula>"Pendente"</formula>
    </cfRule>
  </conditionalFormatting>
  <conditionalFormatting sqref="F6:F51">
    <cfRule type="cellIs" priority="11" operator="equal" aboveAverage="0" equalAverage="0" bottom="0" percent="0" rank="0" text="" dxfId="7">
      <formula>"Entregue"</formula>
    </cfRule>
    <cfRule type="cellIs" priority="12" operator="equal" aboveAverage="0" equalAverage="0" bottom="0" percent="0" rank="0" text="" dxfId="8">
      <formula>"Parcial"</formula>
    </cfRule>
    <cfRule type="cellIs" priority="13" operator="equal" aboveAverage="0" equalAverage="0" bottom="0" percent="0" rank="0" text="" dxfId="9">
      <formula>"Pendente"</formula>
    </cfRule>
  </conditionalFormatting>
  <conditionalFormatting sqref="G6:G51">
    <cfRule type="cellIs" priority="14" operator="equal" aboveAverage="0" equalAverage="0" bottom="0" percent="0" rank="0" text="" dxfId="7">
      <formula>"Entregue"</formula>
    </cfRule>
    <cfRule type="cellIs" priority="15" operator="equal" aboveAverage="0" equalAverage="0" bottom="0" percent="0" rank="0" text="" dxfId="8">
      <formula>"Parcial"</formula>
    </cfRule>
    <cfRule type="cellIs" priority="16" operator="equal" aboveAverage="0" equalAverage="0" bottom="0" percent="0" rank="0" text="" dxfId="9">
      <formula>"Pendente"</formula>
    </cfRule>
  </conditionalFormatting>
  <conditionalFormatting sqref="J6:J51">
    <cfRule type="cellIs" priority="17" operator="equal" aboveAverage="0" equalAverage="0" bottom="0" percent="0" rank="0" text="" dxfId="7">
      <formula>"Completo"</formula>
    </cfRule>
    <cfRule type="cellIs" priority="18" operator="equal" aboveAverage="0" equalAverage="0" bottom="0" percent="0" rank="0" text="" dxfId="9">
      <formula>"Nada entregue"</formula>
    </cfRule>
  </conditionalFormatting>
  <conditionalFormatting sqref="I6:I51">
    <cfRule type="expression" priority="19" aboveAverage="0" equalAverage="0" bottom="0" percent="0" rank="0" text="" dxfId="10">
      <formula>AND(COUNTA($C6:$G6)&gt;0,$I6&lt;0.6)</formula>
    </cfRule>
  </conditionalFormatting>
  <dataValidations count="1">
    <dataValidation allowBlank="true" error="Escolha: Entregue, Parcial ou Pendente." errorStyle="stop" errorTitle="Valor inválido" operator="between" showDropDown="false" showErrorMessage="false" showInputMessage="false" sqref="C6:G51" type="list">
      <formula1>"Entregue,Parcial,Pendente"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21.75" hidden="false" customHeight="true" outlineLevel="0" collapsed="false">
      <c r="A1" s="22" t="s">
        <v>115</v>
      </c>
      <c r="B1" s="22"/>
      <c r="C1" s="22"/>
      <c r="D1" s="22"/>
      <c r="E1" s="22"/>
      <c r="F1" s="22"/>
    </row>
    <row r="2" customFormat="false" ht="15" hidden="false" customHeight="false" outlineLevel="0" collapsed="false">
      <c r="A2" s="23" t="s">
        <v>116</v>
      </c>
      <c r="B2" s="23"/>
      <c r="C2" s="23"/>
      <c r="D2" s="23"/>
      <c r="E2" s="23"/>
      <c r="F2" s="23"/>
    </row>
    <row r="4" customFormat="false" ht="15" hidden="false" customHeight="false" outlineLevel="0" collapsed="false">
      <c r="A4" s="24" t="s">
        <v>117</v>
      </c>
      <c r="B4" s="24" t="s">
        <v>118</v>
      </c>
      <c r="C4" s="24" t="s">
        <v>119</v>
      </c>
      <c r="D4" s="24" t="s">
        <v>120</v>
      </c>
      <c r="E4" s="24" t="s">
        <v>121</v>
      </c>
      <c r="F4" s="24" t="s">
        <v>122</v>
      </c>
    </row>
    <row r="5" customFormat="false" ht="15" hidden="false" customHeight="false" outlineLevel="0" collapsed="false">
      <c r="A5" s="25" t="s">
        <v>123</v>
      </c>
      <c r="B5" s="6" t="s">
        <v>124</v>
      </c>
      <c r="C5" s="26" t="n">
        <f aca="false">COUNTIF(Controle!C6:C51,"Entregue")</f>
        <v>0</v>
      </c>
      <c r="D5" s="26" t="n">
        <f aca="false">COUNTIF(Controle!C6:C51,"Parcial")</f>
        <v>0</v>
      </c>
      <c r="E5" s="26" t="n">
        <f aca="false">COUNTIF(Controle!C6:C51,"Pendente")</f>
        <v>0</v>
      </c>
      <c r="F5" s="27" t="n">
        <f aca="false">C5/COUNTA(Controle!B6:B51)</f>
        <v>0</v>
      </c>
    </row>
    <row r="6" customFormat="false" ht="15" hidden="false" customHeight="false" outlineLevel="0" collapsed="false">
      <c r="A6" s="28" t="s">
        <v>125</v>
      </c>
      <c r="B6" s="12" t="s">
        <v>126</v>
      </c>
      <c r="C6" s="29" t="n">
        <f aca="false">COUNTIF(Controle!D6:D51,"Entregue")</f>
        <v>0</v>
      </c>
      <c r="D6" s="29" t="n">
        <f aca="false">COUNTIF(Controle!D6:D51,"Parcial")</f>
        <v>0</v>
      </c>
      <c r="E6" s="29" t="n">
        <f aca="false">COUNTIF(Controle!D6:D51,"Pendente")</f>
        <v>0</v>
      </c>
      <c r="F6" s="30" t="n">
        <f aca="false">C6/COUNTA(Controle!B6:B51)</f>
        <v>0</v>
      </c>
    </row>
    <row r="7" customFormat="false" ht="15" hidden="false" customHeight="false" outlineLevel="0" collapsed="false">
      <c r="A7" s="25" t="s">
        <v>127</v>
      </c>
      <c r="B7" s="6" t="s">
        <v>128</v>
      </c>
      <c r="C7" s="26" t="n">
        <f aca="false">COUNTIF(Controle!E6:E51,"Entregue")</f>
        <v>0</v>
      </c>
      <c r="D7" s="26" t="n">
        <f aca="false">COUNTIF(Controle!E6:E51,"Parcial")</f>
        <v>0</v>
      </c>
      <c r="E7" s="26" t="n">
        <f aca="false">COUNTIF(Controle!E6:E51,"Pendente")</f>
        <v>0</v>
      </c>
      <c r="F7" s="27" t="n">
        <f aca="false">C7/COUNTA(Controle!B6:B51)</f>
        <v>0</v>
      </c>
    </row>
    <row r="8" customFormat="false" ht="15" hidden="false" customHeight="false" outlineLevel="0" collapsed="false">
      <c r="A8" s="28" t="s">
        <v>129</v>
      </c>
      <c r="B8" s="12" t="s">
        <v>130</v>
      </c>
      <c r="C8" s="29" t="n">
        <f aca="false">COUNTIF(Controle!F6:F51,"Entregue")</f>
        <v>0</v>
      </c>
      <c r="D8" s="29" t="n">
        <f aca="false">COUNTIF(Controle!F6:F51,"Parcial")</f>
        <v>0</v>
      </c>
      <c r="E8" s="29" t="n">
        <f aca="false">COUNTIF(Controle!F6:F51,"Pendente")</f>
        <v>0</v>
      </c>
      <c r="F8" s="30" t="n">
        <f aca="false">C8/COUNTA(Controle!B6:B51)</f>
        <v>0</v>
      </c>
    </row>
    <row r="9" customFormat="false" ht="15" hidden="false" customHeight="false" outlineLevel="0" collapsed="false">
      <c r="A9" s="25" t="s">
        <v>131</v>
      </c>
      <c r="B9" s="6" t="s">
        <v>132</v>
      </c>
      <c r="C9" s="26" t="n">
        <f aca="false">COUNTIF(Controle!G6:G51,"Entregue")</f>
        <v>0</v>
      </c>
      <c r="D9" s="26" t="n">
        <f aca="false">COUNTIF(Controle!G6:G51,"Parcial")</f>
        <v>0</v>
      </c>
      <c r="E9" s="26" t="n">
        <f aca="false">COUNTIF(Controle!G6:G51,"Pendente")</f>
        <v>0</v>
      </c>
      <c r="F9" s="27" t="n">
        <f aca="false">C9/COUNTA(Controle!B6:B51)</f>
        <v>0</v>
      </c>
    </row>
    <row r="11" customFormat="false" ht="15" hidden="false" customHeight="false" outlineLevel="0" collapsed="false">
      <c r="A11" s="31" t="s">
        <v>133</v>
      </c>
    </row>
    <row r="12" customFormat="false" ht="15" hidden="false" customHeight="true" outlineLevel="0" collapsed="false">
      <c r="A12" s="32" t="s">
        <v>134</v>
      </c>
      <c r="B12" s="32"/>
      <c r="C12" s="32"/>
      <c r="D12" s="32"/>
      <c r="E12" s="32"/>
      <c r="F12" s="32"/>
    </row>
    <row r="13" customFormat="false" ht="15" hidden="false" customHeight="false" outlineLevel="0" collapsed="false">
      <c r="A13" s="32"/>
      <c r="B13" s="32"/>
      <c r="C13" s="32"/>
      <c r="D13" s="32"/>
      <c r="E13" s="32"/>
      <c r="F13" s="32"/>
    </row>
  </sheetData>
  <mergeCells count="3">
    <mergeCell ref="A1:F1"/>
    <mergeCell ref="A2:F2"/>
    <mergeCell ref="A12:F13"/>
  </mergeCells>
  <conditionalFormatting sqref="F5:F9">
    <cfRule type="cellIs" priority="2" operator="lessThan" aboveAverage="0" equalAverage="0" bottom="0" percent="0" rank="0" text="" dxfId="11">
      <formula>0.5</formula>
    </cfRule>
    <cfRule type="cellIs" priority="3" operator="greaterThanOrEqual" aboveAverage="0" equalAverage="0" bottom="0" percent="0" rank="0" text="" dxfId="12"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2026-10-15T16:34:26Z</dcterms:created>
  <dc:creator>openpyxl</dc:creator>
  <dc:description/>
  <dc:language>en-US</dc:language>
  <cp:lastModifiedBy/>
  <dcterms:modified xsi:type="dcterms:W3CDTF">2026-10-15T16:34:26Z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